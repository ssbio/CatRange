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N:\COMMON\Python_work\ssCatPred_1.0\XGB_model_Nov_5\Check_Big_DB\data_robust_v1\"/>
    </mc:Choice>
  </mc:AlternateContent>
  <xr:revisionPtr revIDLastSave="0" documentId="13_ncr:1_{860F03DA-BFA8-4C03-9BFA-7B0A6D75336B}" xr6:coauthVersionLast="47" xr6:coauthVersionMax="47" xr10:uidLastSave="{00000000-0000-0000-0000-000000000000}"/>
  <bookViews>
    <workbookView xWindow="-120" yWindow="-120" windowWidth="29040" windowHeight="15990" xr2:uid="{2158A262-D99B-4B7D-989F-5A90CB907265}"/>
  </bookViews>
  <sheets>
    <sheet name="OOD_kcat_km_entries" sheetId="2" r:id="rId1"/>
    <sheet name="Negative_Test_Holdout" sheetId="1" r:id="rId2"/>
    <sheet name="kcat" sheetId="3" r:id="rId3"/>
    <sheet name="km" sheetId="4" r:id="rId4"/>
    <sheet name="test" sheetId="5" r:id="rId5"/>
    <sheet name="Sheet7" sheetId="7" r:id="rId6"/>
  </sheets>
  <definedNames>
    <definedName name="_xlnm._FilterDatabase" localSheetId="1" hidden="1">Negative_Test_Holdout!$A$1:$AU$11</definedName>
    <definedName name="_xlnm._FilterDatabase" localSheetId="0" hidden="1">OOD_kcat_km_entries!$A$1:$AX$23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7" l="1"/>
  <c r="O5" i="7"/>
  <c r="O6" i="7"/>
  <c r="O7" i="7"/>
  <c r="O8" i="7"/>
  <c r="O9" i="7"/>
  <c r="O10" i="7"/>
  <c r="O11" i="7"/>
  <c r="O12" i="7"/>
  <c r="O3" i="7"/>
  <c r="I4" i="7"/>
  <c r="I5" i="7"/>
  <c r="I6" i="7"/>
  <c r="I7" i="7"/>
  <c r="I8" i="7"/>
  <c r="I9" i="7"/>
  <c r="I10" i="7"/>
  <c r="I11" i="7"/>
  <c r="I12" i="7"/>
  <c r="I3" i="7"/>
  <c r="AX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</calcChain>
</file>

<file path=xl/sharedStrings.xml><?xml version="1.0" encoding="utf-8"?>
<sst xmlns="http://schemas.openxmlformats.org/spreadsheetml/2006/main" count="851" uniqueCount="348">
  <si>
    <t>level_0</t>
  </si>
  <si>
    <t>original_index</t>
  </si>
  <si>
    <t>sequence</t>
  </si>
  <si>
    <t>Isomeric_SMILES</t>
  </si>
  <si>
    <t>ECNumber</t>
  </si>
  <si>
    <t>Substrate</t>
  </si>
  <si>
    <t>kcat_Value</t>
  </si>
  <si>
    <t>kcat_Value_hard</t>
  </si>
  <si>
    <t>km_Value</t>
  </si>
  <si>
    <t>median_kcat</t>
  </si>
  <si>
    <t>median_km</t>
  </si>
  <si>
    <t>log_Value</t>
  </si>
  <si>
    <t>Unit_kcat</t>
  </si>
  <si>
    <t>Unit_km</t>
  </si>
  <si>
    <t>UniprotID</t>
  </si>
  <si>
    <t>UniprotID_km</t>
  </si>
  <si>
    <t>EnzymeType</t>
  </si>
  <si>
    <t>ECPathway</t>
  </si>
  <si>
    <t>active_sites</t>
  </si>
  <si>
    <t>active_site_residues</t>
  </si>
  <si>
    <t>sequence_length</t>
  </si>
  <si>
    <t>molecular_weight</t>
  </si>
  <si>
    <t>original_seq</t>
  </si>
  <si>
    <t>kcat_wt_bin</t>
  </si>
  <si>
    <t>km_wt_bin</t>
  </si>
  <si>
    <t>blosum_score</t>
  </si>
  <si>
    <t>MolWt</t>
  </si>
  <si>
    <t>LogP</t>
  </si>
  <si>
    <t>NumRings</t>
  </si>
  <si>
    <t>HDonors</t>
  </si>
  <si>
    <t>HAcceptors</t>
  </si>
  <si>
    <t>active_site_density</t>
  </si>
  <si>
    <t>substrate_enzyme_mw_ratio</t>
  </si>
  <si>
    <t>num_active_site_residues</t>
  </si>
  <si>
    <t>drop</t>
  </si>
  <si>
    <t>source</t>
  </si>
  <si>
    <t>kcat_drop</t>
  </si>
  <si>
    <t>km_drop</t>
  </si>
  <si>
    <t>index_y</t>
  </si>
  <si>
    <t>MDPKYQRVELNDGHFMPVLGFGTYAPPEVPRNRAVEVTKLAIEAGFRHIDSAYLANNEEQVGLAIRSKIADGSVKREDIFYTSKLWCTFFQPQMVQPALESSLKKLQLDYVDLYLLHFPMALKPGETPLPKDENGKVIFDTVDLSATWEVMEKCKDAGLAKSIGVSNFNCRQLEMILNKPGLKYKPVCNQVECHPYLNQSKLLDFCKSKDIVLVAHSALGTQRHKLWVDPNSPVLLEDPVLCALAKKHKQTPALIALRYQLQRGVVVLAKSYNEQRIRENIQVFEFQLTSEDMKVLDGLNRNYRYVVMDFLMDHPDYPFSDEY</t>
  </si>
  <si>
    <t>CC(=O)[C@H]1CC[C@H]2[C@@H]3CC[C@@H]4C[C@H](O)CC[C@]4(C)[C@H]3CC[C@]12C</t>
  </si>
  <si>
    <t>1.1.1.50</t>
  </si>
  <si>
    <t>3alpha-hydroxy-5beta-pregnane-20-one</t>
  </si>
  <si>
    <t>s^(-1)</t>
  </si>
  <si>
    <t>M</t>
  </si>
  <si>
    <t>P17516</t>
  </si>
  <si>
    <t>wildtype</t>
  </si>
  <si>
    <t>*</t>
  </si>
  <si>
    <t>[55]</t>
  </si>
  <si>
    <t>[(55, 'Y')]</t>
  </si>
  <si>
    <t>MDPKYQRVELNDGHFMPVLGFGTYAPPEVPRNRAVEVTKLAIEAGFRHIDSAYLYNNEEQVGLAIRSKIADGSVKREDIFYTSKLWCTFFQPQMVQPALESSLKKLQLDYVDLYLLHFPMALKPGETPLPKDENGKVIFDTVDLSATWEVMEKCKDAGLAKSIGVSNFNCRQLEMILNKPGLKYKPVCNQVECHPYLNQSKLLDFCKSKDIVLVAHSALGTQRHKLWVDPNSPVLLEDPVLCALAKKHKQTPALIALRYQLQRGVVVLAKSYNEQRIRENIQVFEFQLTSEDMKVLDGLNRNYRYVVMDFLMDHPDYPFSDEY</t>
  </si>
  <si>
    <t>neg</t>
  </si>
  <si>
    <t>MPHIDNDVKLDFKDVLLRPKRSTLKSRSEVDLTRSFSFRNSKQTYSGVPIIAANMDTVGTFEMAKVLCKFSLFTAVHKHYSLVQWQEFAGQNPDCLEHLAASSGTGSSDFEQLEQILEAIPQVKYICLDVANGYSEHFVEFVKDVRKRFPQHTIMAGNVVTGEMVEELILSGADIIKVGIGPGSVATARKKTGVGYPQLSAVMECADAAHGLKGHIISDGGCSCPGDVAKAFGAGADFVMLGGMLAGHSESGGELIERDGKKYKLFYGMSSEMAMKKYAGGVAEYRASEGKTVEVPFKGDVEHTIRDILGGIRSTCTYVGAAKLKELSRRTTFIRVTQQVNPIFSEAC</t>
  </si>
  <si>
    <t>N=c1nc(O)c2ncn([C@@H]3O[C@H](COP(=O)(O)O)[C@@H](O)[C@H]3O)c2[nH]1</t>
  </si>
  <si>
    <t>1.7.1.7</t>
  </si>
  <si>
    <t>gmp</t>
  </si>
  <si>
    <t>Q9P2T1</t>
  </si>
  <si>
    <t>[186, 188]</t>
  </si>
  <si>
    <t>[(186, 'C'), (188, 'T')]</t>
  </si>
  <si>
    <t>MPHIDNDVKLDFKDVLLRPKRSTLKSRSEVDLTRSFSFRNSKQTYSGVPIIAANMDTVGTFEMAKVLCKFSLFTAVHKHYSLVQWQEFAGQNPDCLEHLAASSGTGSSDFEQLEQILEAIPQVKYICLDVANGYSEHFVEFVKDVRKRFPQHTIMAGNVVTGEMVEELILSGADIIKVGIGPGSVCTTRKKTGVGYPQLSAVMECADAAHGLKGHIISDGGCSCPGDVAKAFGAGADFVMLGGMLAGHSESGGELIERDGKKYKLFYGMSSEMAMKKYAGGVAEYRASEGKTVEVPFKGDVEHTIRDILGGIRSTCTYVGAAKLKELSRRTTFIRVTQQVNPIFSEAC</t>
  </si>
  <si>
    <t>MSENNGKQFINGQRVAANAPTIESINATDYQPTGYLFSQATLDEVDQAAQAAYQAFLKYQHTTQQQRADFLDEIAIQIENLGSKLQEVAAQETGLPLVRLQGETGRVTGQLRLFAELLRRGDFYGARIDTALPERKPLPRVDLRQYKIGVGPVAVFGASNFPLAFSTAGGDTVAALAAGCSVVFKAHSGHMATAELVAQAIEKAILNSGIPSGTFNMIFGSRVGANLVEHPLIQAAGFTGSLEGGMALFNLAQNRPQPIPFFAAMSSVNPVIVMPEALNARGEKVAQDTVASFNMGCGQFATKPGLIIGIKSPAFDQFVTALIDTTRTAVPQIMLNQGTLKSYQQGIDALLNEQGFKCIASGQAPELISQAQPHLFQADQSVLLSGNPKLQHEVFGPMSIVIAVDDEATLLNGLEKLAGQLTATIIADESDLPQAKELLNLLTRKAGRVLFNGFPTGVEVSDAMVHGGPFPATSDSRGTSVGTGAIERFLRPVCYQNTSQVLLPDVLKDGNPLHITRLVNGVLTQN</t>
  </si>
  <si>
    <t>O=CCCC(=O)O</t>
  </si>
  <si>
    <t>1.2.1.26</t>
  </si>
  <si>
    <t>succinate semialdehyde</t>
  </si>
  <si>
    <t>Q6FFQ0</t>
  </si>
  <si>
    <t>[264, 301]</t>
  </si>
  <si>
    <t>[(264, 'E'), (301, 'C')]</t>
  </si>
  <si>
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</si>
  <si>
    <t>MGLSIGIVGATGQVGQVMRTLLDERDFPASAVRFFASARSQGRKLAFRGQEIEVEDAETADPSGLDIALFSAGSAMSKVQAPRFAAAGVTVIDNSSAWRKDPDVPLVVSEVNFERDAHRRPKGIIANPNATTMAAMPVLKVLHDEARLVRLVVSSYQAVSGSGLAGVAELAEQARAVIGGAEQLVYDGGALEFPPPNTYVAPIAFNVVPLAGSLVDDGSGETDEDQKLRFESRKILGIPDLLVSGTCVRVPVFTGASLSINAEFAQPLSPERARELLDGATGVQLVDVPTPLAAAGVDESLVGRIRRDPGVPDGRGLALFVSGDNLRKGAALNTIQIAELLTADL</t>
  </si>
  <si>
    <t>N=C(O)c1ccc[n+]([C@@H]2O[C@H](COP(=O)(O)OP(=O)([O-])OC[C@H]3O[C@@H](n4cnc5c(N)ncnc54)[C@H](OP(=O)(O)O)[C@@H]3O)[C@@H](O)[C@H]2O)c1</t>
  </si>
  <si>
    <t>1.2.1.11</t>
  </si>
  <si>
    <t>nadp+</t>
  </si>
  <si>
    <t>P9WNX5</t>
  </si>
  <si>
    <t>[130, 256]</t>
  </si>
  <si>
    <t>[(130, 'C'), (256, 'H')]</t>
  </si>
  <si>
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</si>
  <si>
    <t>MQRVYAFEDGDGTNKKLLGGKGAGLCTMTKIGLPVPQGFVITTEMCKQFIANGNKMPEGLMEEVKKNMQLVEKKSGKVFGGEENPLLVSVRSGAAMSMPGMMDTILNLGLNDKTVVALAKLTNNERFAYDSYRRFVSLFGKIALNVDDEVYDKTLENKKVEKGVKLDTELDANDMKELAQVFIKKTEEFTKQPFPVDPYAQLEFAICAVFRSWMGKRAVDYRREFKITPEQADGTAVSVVSMVYGNMGNDSATGVCFTRDPGTGENMFFGEYLKNAQGEDVVAGIRTPQIISKMAEDADLPGCYEQLLDIRKKLEGYFHEVQDFEFTIERKKLYMLQTRNGKMNATATVRTGVDMVEEGLITKEQAIMRIAPQSVDQLLHKNMPANYAEAPLVKGLPASPGAATGAVVFDADDAVEQAKGKKVLLLREETKPEDIHGFFVAEGILTCRGGKTSAAAVVARGMGKPCVSGAEGIKVDVAKKIAKIGSLEVHEGDILTIDGSTGCVYKGEVPLEEPQVGSGYFGTILKWANEIKKIGVFANADLPSAAKKALEFGAEGIGLCRTERMFNAVERLPIVVKMILSNTLEERKKYLNELMPLQKQDFIGLLKTMNGLPVTVRLLDPPLHEFLPTLEELMREIFEMKLSGKTEGLAEKEVVLKKVKELMEVNPMIGHRGIRLGTTNPEIYEMQIRAFLEATAEVIKEGIKTHAEIMIPNVTEVNELINLRKNVLEPVHEEVEKKYGIKVPFMYGTMVECVRAALTADKIATEASFFSFGTNDLTQGTFSYSREDSENKFIPKYVELKILPANPFEILDRPGVGEVMRIAVTKGRQTRPELLVGIAGEHGGEPSSIEWCHMIGLNYVSCSSYRIPVARIAAAQAQIRHPREN</t>
  </si>
  <si>
    <t>O=P([O-])([O-])OP(=O)([O-])[O-]</t>
  </si>
  <si>
    <t>2.7.9.1</t>
  </si>
  <si>
    <t>diphosphate</t>
  </si>
  <si>
    <t>P37213</t>
  </si>
  <si>
    <t>[454, 839]</t>
  </si>
  <si>
    <t>[(454, 'H'), (839, 'C')]</t>
  </si>
  <si>
    <t>MQRVYAFEDGDGTNKKLLGGKGAGLCTMTKIGLPVPQGFVITTEMCKQFIANGNKMPEGLMEEVKKNMQLVEKKSGKVFGGEENPLLVSVRSGAAMSMPGMMDTILNLGLNDKTVVALAKLTNNERFAYDSYRRFVSLFGKIALNVDDEVYDKTLENKKVEKGVKLDTELDANDMKELAQVFIKKTEEFTKQPFPVDPYAQLEFAICAVFRSWMGKRAVDYRREFKITPEQADGTAVSVVSMVYGNMGNDSATGVCFTRDPGTGENMFFGEYLKNAQGEDVVAGIRTPQIISKMAEDADLPGCYEQLLDIRKKLEGYFHEVQDFEFTIERKKLYMLQTRNGKMNATATVRTGVDMVEEGLITKEQAIMRIAPQSVDQLLHKNMPANYAEAPLVKGLPASPGAATGAVVFDADDAVEQAKGKKVLLLREETKPEDIHGFFVAEGILTCRGGKTSHAAVVARGMGKPCVSGAEGIKVDVAKKIAKIGSLEVHEGDILTIDGSTGCVYKGEVPLEEPQVGSGYFGTILKWANEIKKIGVFANADLPSAAKKALEFGAEGIGLCRTERMFNAVERLPIVVKMILSNTLEERKKYLNELMPLQKQDFIGLLKTMNGLPVTVRLLDPPLHEFLPTLEELMREIFEMKLSGKTEGLAEKEVVLKKVKELMEVNPMIGHRGIRLGTTNPEIYEMQIRAFLEATAEVIKEGIKTHAEIMIPNVTEVNELINLRKNVLEPVHEEVEKKYGIKVPFMYGTMVECVRAALTADKIATEASFFSFGTNDLTQGTFSYSREDSENKFIPKYVELKILPANPFEILDRPGVGEVMRIAVTKGRQTRPELLVGICGEHGGEPSSIEWCHMIGLNYVSCSSYRIPVARIAAAQAQIRHPREN</t>
  </si>
  <si>
    <t>MAVSKVYARSVYDSRGNPTVEVELTTEKGVFRSIVPSGASTGVHEALEMRDGDKSKWMGKGVLHAVKNVNDVIAPAFVKANIDVKDQKAVDDFLISLDGTANKSKLGANAILGVSLAASRAAAAEKNVPLYKHLADLSKSKTSPYVLPVPFLNVLNGGSHAGGALALQEFMIAPTGAKTFAEALRIGSEVYHNLKSLTKKRYGASAGNVGDAGGVAPNIQTAEEALDLIVDAIKAAGHDGKIKIGLDCASSEFFKDGKYDLDFKNPNSDKSKWLTGPQLADLYHSLMKRYPIVSIEDPFAEDDWEAWSHFFKTAGIQIVADDLTVTNPKRIATAIEKKAADALLLAVNQIGTLSESIKAAQDSFAAGWGVMVSHRSGETEDTFIADLVVGLRTGQIKTGAPARSERLAKLNQLLRIEEELGDNAVFAGENFHHGDKL</t>
  </si>
  <si>
    <t>[Mn+2]</t>
  </si>
  <si>
    <t>4.2.1.11</t>
  </si>
  <si>
    <t>mn2+</t>
  </si>
  <si>
    <t>P00924</t>
  </si>
  <si>
    <t>[212, 346]</t>
  </si>
  <si>
    <t>[(212, 'E'), (346, 'K')]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</si>
  <si>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</si>
  <si>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MAMANLARRKGYAVVLSSRSSLCLTRWRGFASGSDENDVVVIGGGPGGYVAAIKAAQLGLKTTCIEKRGTLGGTCLNVGCIPSKALLHSSHMYHEAKHAFANHGVKFSSVEVDLPAMMAQKDKAVSNLTKGIEGLFKKNKVNYVKGYGKLVSPSEVSVDTTEGGNTVVKGKHIIIATGSDVKSLPGITIDEKKVVSSTGALALTEIPKRLIVIGAGYIGLEMGSVWGRLGSEITVVEFASEIVPTMDAEVRKQFQRSLEKQGMKFKLKTKVVGVDTSGDGVKLTLEPAAGGDQTTLEADVVLVSAGRTPFTAELGLDKIGVETDKIGRILVNERFATNVSGVYAIGDVIPGPMLAHKAEEDGVACVEYIAGKVGHVDYDKVPGVVYTMPEVASVGKTEEQVKELGVEYRVGKFPFLANSRAKAIDNAEGLVKILAEKETDKILGVHIMAPNAGELIHEAAIALQYDASSEDIARVCHAAPTMSEAVKEAAMATYDKPIHI</t>
  </si>
  <si>
    <t>N=C(O)CCCCC1CCSS1</t>
  </si>
  <si>
    <t>1.6.2.6</t>
  </si>
  <si>
    <t>lipoamide</t>
  </si>
  <si>
    <t>O81413</t>
  </si>
  <si>
    <t>[479]</t>
  </si>
  <si>
    <t>[(479, 'H')]</t>
  </si>
  <si>
    <t>MAMANLARRKGYAVVLSSRSSLCLTRWRGFASGSDENDVVVIGGGPGGYVAAIKAAQLGLKTTCIEKRGTLGGTCLNVGCIPSKALLHSSHMYHEAKHAFANHGVKFSSVEVDLPAMMAQKDKAVSNLTKGIEGLFKKNKVNYVKGYGKLVSPSEVSVDTTEGGNTVVKGKHIIIATGSDVKSLPGITIDEKKVVSSTGALALTEIPKRLIVIGAGYIGLEMGSVWGRLGSEITVVEFASEIVPTMDAEVRKQFQRSLEKQGMKFKLKTKVVGVDTSGDGVKLTLEPAAGGDQTTLEADVVLVSAGRTPFTAELGLDKIGVETDKIGRILVNERFATNVSGVYAIGDVIPGPMLAHKAEEDGVACVEYIAGKVGHVDYDKVPGVVYTMPEVASVGKTEEQVKELGVEYRVGKFPFLANSRAKAIDNAEGLVKILAEKETDKILGVHIMAPNAGELIHEAAIALQYDASSEDIARVCHAHPTMSEAVKEAAMATYDKPIHI</t>
  </si>
  <si>
    <t>MNSKCHCVILNDGNFIPVLGFGTALPLECPKSKAKELTKIAIDAGFHHFDSASVANTEDHVGEAIRSKIADGTVRREDIFYTSKVWCTSLHPELVRASLERSLQKLQFDYVDLYLIHYPMALKPGEENFPVDEHGKLIFDRVDLCATWEAMEKCKDAGLTKSIGVSNFNYRQLEMILNKPGLKYKPVCNQVECHPYLNQMKLLDFCKSKDIVLVAYGVLGTQRYGGWVDQNSPVLLDEPVLGSMAKKYNRTPALIALRYQLQRGIVVLNTSLKEERIKENMQVFEFQLSSEDMKVLDGLNRNMRYIPAAIFKGHPNWPFLDEY</t>
  </si>
  <si>
    <t>C[C@]12CC[C@H](O)CC1=CC[C@@H]1[C@@H]2CC[C@]2(C)C(=O)CC[C@@H]12</t>
  </si>
  <si>
    <t>1.1.1.209</t>
  </si>
  <si>
    <t>3beta-hydroxyandrost-5-en-17-one</t>
  </si>
  <si>
    <t>Q91WR5</t>
  </si>
  <si>
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</si>
  <si>
    <t>MSSKLHCVKLNDGHFIPALGFGTYKPKEVPKSKSLEAAHLAIDVGYRHIDTASAAQVEEEIGQAIQSKIKAGVVKREDMFITTKLWCSCFRTEMVRPALEKSLKNLQLDYVDLFLIHYPVPIKSSVDESPLDEKGKFLLDTVDFCDTWEMLEKCKDAGLVKSIGVSNFNHKQLERLLNKPGLKYKPVCNQVECHLYLNQSKLLDYCKSKDIVLVAYGALGTQRYKEWVDQNSPVLLDDPILCDVAKKNKRSPALIALRYLFQRGVVPLAQSFKENEMRENLQVFEFQLSPEDMKTLDGLNKNFRYLSAEFLADHPEYPFSEEY</t>
  </si>
  <si>
    <t>C[C@]12CC[C@@H](O)C[C@@H]1CC[C@@H]1[C@@H]2CC[C@]2(C)[C@@H](O)CC[C@@H]12</t>
  </si>
  <si>
    <t>1.1.1.51</t>
  </si>
  <si>
    <t>5alpha-androstane-3alpha,17beta-diol</t>
  </si>
  <si>
    <t>Q2MHD9</t>
  </si>
  <si>
    <t>MSSKLHCVKLNDGHFIPALGFGTYKPKEVPKSKSLEAAHLAIDVGYRHIDTASAYQVEEEIGQAIQSKIKAGVVKREDMFITTKLWCSCFRTEMVRPALEKSLKNLQLDYVDLFLIHYPVPIKSSVDESPLDEKGKFLLDTVDFCDTWEMLEKCKDAGLVKSIGVSNFNHKQLERLLNKPGLKYKPVCNQVECHLYLNQSKLLDYCKSKDIVLVAYGALGTQRYKEWVDQNSPVLLDDPILCDVAKKNKRSPALIALRYLFQRGVVPLAQSFKENEMRENLQVFEFQLSPEDMKTLDGLNKNFRYLSAEFLADHPEYPFSEEY</t>
  </si>
  <si>
    <t>MFTGSIVAIVTPMDEKGNVCRASLKKLIDYHVASGTSAIVSVGTTGESATLNHDEHADVVMMTLDLADGRIPVIAGTGANATAEAISLTQRFNDSGIVGCLTVTPYYNRPSQEGLYQHFKAIAEHTDLPQILANVPSRTGCDLLPETVGRLAKVKNIIGIAEATGNLTRVNQIKELVSDDFVLLSGDDASALDFMQLGGHGVISVTANVAARDMAQMCKLAAEGHFAEARVINQRLMPLHNKLFVEPNPIPVKWACKELGLVATDTLRLPMTPITDSGRETVRAALKHAGLL</t>
  </si>
  <si>
    <t>N[C@@H](CC=O)C(=O)O</t>
  </si>
  <si>
    <t>4.3.3.7</t>
  </si>
  <si>
    <t>l-aspartate 4-semialdehyde</t>
  </si>
  <si>
    <t>P0A6L2</t>
  </si>
  <si>
    <t>[133, 161]</t>
  </si>
  <si>
    <t>[(133, 'Y'), (161, 'K')]</t>
  </si>
  <si>
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</si>
  <si>
    <t>Unnamed: 0</t>
  </si>
  <si>
    <t>km_wt</t>
  </si>
  <si>
    <t>km_md</t>
  </si>
  <si>
    <t>kcat_wt</t>
  </si>
  <si>
    <t>kcat_md</t>
  </si>
  <si>
    <t>km_wt_min</t>
  </si>
  <si>
    <t>km_md_min</t>
  </si>
  <si>
    <t>kcat_wt_min</t>
  </si>
  <si>
    <t>kcat_md_min</t>
  </si>
  <si>
    <t>km_wt_max</t>
  </si>
  <si>
    <t>km_md_max</t>
  </si>
  <si>
    <t>kcat_wt_max</t>
  </si>
  <si>
    <t>kcat_md_max</t>
  </si>
  <si>
    <t>mutantSites</t>
  </si>
  <si>
    <t>sequence_wt</t>
  </si>
  <si>
    <t>Organism</t>
  </si>
  <si>
    <t>MEEECRVLSIQSHVIRGYVGNRAATFPLQVLGFEIDAVNSVQFSNHTGYAHWKGQVLNSDELQELYEGLRLNNMNKYDYVLTGYTRDKSFLAMVVDIVQELKQQNPRLVYVCDPVLGDKWDGEGSMYVPEDLLPVYKEKVVPLADIITPNQFEAELLSGRKIHSQEEALRVMDMLHSMGPDTVVITSSDLPSPQGSNYLIVLGSQRRRNPAGSVVMERIRMDIRKVDAVFVGTGALFAAMLLAWTHKHPNNLKVACEKTVSTLHHVLQRTIQCAKAQAGEGVRPSPMQLELRMVQSKRDIEDPEIVVQATVL</t>
  </si>
  <si>
    <t>Cc1ncc(CO)c(C=O)c1O</t>
  </si>
  <si>
    <t>D235A</t>
  </si>
  <si>
    <t>[235]</t>
  </si>
  <si>
    <t>[(235, 'D')]</t>
  </si>
  <si>
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</si>
  <si>
    <t>O00764</t>
  </si>
  <si>
    <t>2.7.1.35</t>
  </si>
  <si>
    <t>pyridoxal</t>
  </si>
  <si>
    <t>Homo sapiens</t>
  </si>
  <si>
    <t>MENSFKAALKAGRPQIGLWLGLSSSYSAELLAGAGFDWLLIDGEAAPNNVQTVLTQLQAIAPYPSQPVVRPSWNDPVQIKQLLDVGTQTLLVPMVQNADEAREAVRATRYPPAGIRGVGSALARASRWNRIPDYLQKANDQMCVLVQIETREAMKNLPQILDVEGVDGVFIGPADLSADMGYAGNPQHPEVQAAIEQAIVQIRESGKAPGILIANEQLAKRYLELGALFVAVGVDTTLLARAAEALAARFGAQATAVKPGVY</t>
  </si>
  <si>
    <t>CC(O)CC(=O)C(=O)O</t>
  </si>
  <si>
    <t>H45A</t>
  </si>
  <si>
    <t>[45]</t>
  </si>
  <si>
    <t>[(45, 'H')]</t>
  </si>
  <si>
    <t>MENSFKAALKAGRPQIGLWLGLSSSYSAELLAGAGFDWLLIDGEHAPNNVQTVLTQLQAIAPYPSQPVVRPSWNDPVQIKQLLDVGTQTLLVPMVQNADEAREAVRATRYPPAGIRGVGSALARASRWNRIPDYLQKANDQMCVLVQIETREAMKNLPQILDVEGVDGVFIGPADLSADMGYAGNPQHPEVQAAIEQAIVQIRESGKAPGILIANEQLAKRYLELGALFVAVGVDTTLLARAAEALAARFGAQATAVKPGVY</t>
  </si>
  <si>
    <t>Q47098</t>
  </si>
  <si>
    <t>4.1.2.52</t>
  </si>
  <si>
    <t>4-hydroxy-2-oxopentanoic acid</t>
  </si>
  <si>
    <t>Escherichia coli</t>
  </si>
  <si>
    <t>CC(O)CC(=O)C(=O)[O-]</t>
  </si>
  <si>
    <t>4-hydroxy-2-oxopentanoate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</si>
  <si>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A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</si>
  <si>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N=c1nc(O)c2ncn([C@@H]3O[C@@H]4COP(=O)(O)O[C@H]4[C@H]3O)c2[nH]1</t>
  </si>
  <si>
    <t>H613A</t>
  </si>
  <si>
    <t>[613]</t>
  </si>
  <si>
    <t>[(613, 'H')]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</si>
  <si>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</si>
  <si>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O76074</t>
  </si>
  <si>
    <t>3.1.4.35</t>
  </si>
  <si>
    <t>cgmp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</si>
  <si>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AAAMTIATAALFAKGTTTLRNIYNWRVKETDRLFAMATELRKVGAEVEEGHDYIRITPPEKLNFAEIATYNDHRMAMCFSLVALSDTPVTILDPKCTAKTFPDYFEQLARISQAA</t>
  </si>
  <si>
    <t>C=C(OP(=O)(O)O)C(=O)O</t>
  </si>
  <si>
    <t>D313A</t>
  </si>
  <si>
    <t>[313]</t>
  </si>
  <si>
    <t>[(313, 'D')]</t>
  </si>
  <si>
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</si>
  <si>
    <t>P0A6D3</t>
  </si>
  <si>
    <t>2.5.1.19</t>
  </si>
  <si>
    <t>phosphoenolpyruvate</t>
  </si>
  <si>
    <t>O=C([O-])C1=C[C@@H](OP(=O)([O-])[O-])[C@@H](O)[C@H](O)C1</t>
  </si>
  <si>
    <t>3-phosphoshikimate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</si>
  <si>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APVGTVRMGAVEDEMSPLDPELRVKGVTGLRVADASVMPEHVTVNPNITVMMIGERCADLIRSARAGETTTADAELSAALA</t>
  </si>
  <si>
    <t>C[N+](C)(C)CCO</t>
  </si>
  <si>
    <t>H466A</t>
  </si>
  <si>
    <t>[466]</t>
  </si>
  <si>
    <t>[(466, 'H')]</t>
  </si>
  <si>
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</si>
  <si>
    <t>Q7X2H8</t>
  </si>
  <si>
    <t>1.1.3.17</t>
  </si>
  <si>
    <t>choline</t>
  </si>
  <si>
    <t>Arthrobacter globiformis</t>
  </si>
  <si>
    <t>MKITVLGCGALGQLWLTALCKQGHEVQGWLRVPQPYCSVNLVETDGSIFNESLTANDPDFLATSDLLLVTLKAWQVSDAVKSLASTLPVTTPILLIHNGMGTIEELQNIQQPLLMGTTTHAARRDGNVIIHVANGITHIGPARQQDGDYSYLADILQTVLPDVAWHNNIRAELWRALAVNCVINPLTAIWNCPNGELRHHPQEIMQICEEVAAVIEREGHHTSAEDLRDYVMQVIDATAENISSMLQDIRALRHTEIDYINGFLLRRARAHGIAVPENTRLFEMVKRKESEYERIGTGLPRPW</t>
  </si>
  <si>
    <t>CC(C)(CO)C(=O)C(=O)[O-]</t>
  </si>
  <si>
    <t>K176A</t>
  </si>
  <si>
    <t>[176]</t>
  </si>
  <si>
    <t>[(176, 'K')]</t>
  </si>
  <si>
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</si>
  <si>
    <t>P0A9J4</t>
  </si>
  <si>
    <t>1.1.1.169</t>
  </si>
  <si>
    <t>2-dehydropantoate</t>
  </si>
  <si>
    <t>N=C(O)C1=CN([C@@H]2O[C@H](COP(=O)(O)OP(=O)(O)OC[C@H]3O[C@@H](n4cnc5c(N)ncnc54)[C@H](OP(=O)(O)O)[C@@H]3O)[C@@H](O)[C@H]2O)C=CC1</t>
  </si>
  <si>
    <t>nadph</t>
  </si>
  <si>
    <t>MKTRIHVVQGDITKLAVDVIVNAANPSLMGGGGVAGAIHRAAGPALLDACLKVRQQQGDCPTGHAVITLAGDLPAKAVVHTVGPVWRGGEQNEDQLLQDAYLNSLRLVAANSYTSVAFPAISTGVYGYPRAAAAEIAVKTVSEFITRHALPEQVYFVCYDEENAHLYERLLTQQGDE</t>
  </si>
  <si>
    <t>CC(=O)O[C@H]1C(O)O[C@H](COP(=O)(O)OP(=O)(O)OC[C@H]2O[C@@H](n3cnc4c(N)ncnc43)[C@H](O)[C@@H]2O)[C@H]1O</t>
  </si>
  <si>
    <t>D35A</t>
  </si>
  <si>
    <t>[35]</t>
  </si>
  <si>
    <t>[(35, 'D')]</t>
  </si>
  <si>
    <t>MKTRIHVVQGDITKLAVDVIVNAANPSLMGGGGVDGAIHRAAGPALLDACLKVRQQQGDCPTGHAVITLAGDLPAKAVVHTVGPVWRGGEQNEDQLLQDAYLNSLRLVAANSYTSVAFPAISTGVYGYPRAAAAEIAVKTVSEFITRHALPEQVYFVCYDEENAHLYERLLTQQGDE</t>
  </si>
  <si>
    <t>P0A8D6</t>
  </si>
  <si>
    <t>3.1.1.106</t>
  </si>
  <si>
    <t>2''-o-acetyl-adp-d-ribose</t>
  </si>
  <si>
    <t>MRCRSLSHFKDDDFAVVSEVVTHKQNHIPVIKGDFVSLPKHVQRFVAEKAELMKPSAIFICDGSQNEADELIARCVERGVLVPLKAYKNNYLCRTDPRDVARVESKTWMITPEKYDSVCHTPEGVKPMMGQWMSPDEFGKELDDRFPGCMAGRTMYVIPYSMGPVGGPLSKIGIELTDSDYVVLCMRIMTRMGEPVLKALAKNNGEFVRCVHSVGQPKPVATKVINHWPCNPEKTIIAHRPAEREIWSFGSGYGGNSLLGKKCFALRIAMNIGYDEGWMAEHMLIMGVTSPKGEERFVAAAFPSAAGKTNLAMLEPTIPGWKVRVIGDDIAWMKFGADGRLYAINPEYGFFGVAPGTSHKTNPMAMASFQENTIFTNVAETADGEYFWEGLEHEVKNPKVDMINWLGEPWHIGDESKAAHPNSRFTAPAGQCPIIHPDWEKPEGVPIDAIIFGGRRPEGVPLVFESRSWVHGIFVGACVKSEATAAAEHTGKQVMHDPMAMRPFMGYNFGRYMRHWMKLGQPPHKVPKIFHVNWFRQSADHKFLWPGYGDNIRVIDWILRRCSGDATIAEETPIGFIPKKGTINLEGLPNVNWDELMSIPKSYWLEDMVETKTFFENQVGSDLPPEIAKELEAQTERIKALKE</t>
  </si>
  <si>
    <t>C306A</t>
  </si>
  <si>
    <t>[306]</t>
  </si>
  <si>
    <t>[(306, 'C')]</t>
  </si>
  <si>
    <t>MRCRSLSHFKDDDFAVVSEVVTHKQNHIPVIKGDFVSLPKHVQRFVAEKAELMKPSAIFICDGSQNEADELIARCVERGVLVPLKAYKNNYLCRTDPRDVARVESKTWMITPEKYDSVCHTPEGVKPMMGQWMSPDEFGKELDDRFPGCMAGRTMYVIPYSMGPVGGPLSKIGIELTDSDYVVLCMRIMTRMGEPVLKALAKNNGEFVRCVHSVGQPKPVATKVINHWPCNPEKTIIAHRPAEREIWSFGSGYGGNSLLGKKCFALRIAMNIGYDEGWMAEHMLIMGVTSPKGEERFVAAAFPSACGKTNLAMLEPTIPGWKVRVIGDDIAWMKFGADGRLYAINPEYGFFGVAPGTSHKTNPMAMASFQENTIFTNVAETADGEYFWEGLEHEVKNPKVDMINWLGEPWHIGDESKAAHPNSRFTAPAGQCPIIHPDWEKPEGVPIDAIIFGGRRPEGVPLVFESRSWVHGIFVGACVKSEATAAAEHTGKQVMHDPMAMRPFMGYNFGRYMRHWMKLGQPPHKVPKIFHVNWFRQSADHKFLWPGYGDNIRVIDWILRRCSGDATIAEETPIGFIPKKGTINLEGLPNVNWDELMSIPKSYWLEDMVETKTFFENQVGSDLPPEIAKELEAQTERIKALKE</t>
  </si>
  <si>
    <t>Q05893</t>
  </si>
  <si>
    <t>4.1.1.32</t>
  </si>
  <si>
    <t>Ascaris suum</t>
  </si>
  <si>
    <t>N=c1nc(O)c2ncn([C@@H]3O[C@H](COP(=O)(O)OP(=O)(O)O)[C@@H](O)[C@H]3O)c2[nH]1</t>
  </si>
  <si>
    <t>gdp</t>
  </si>
  <si>
    <t>N=c1nc(O)c2ncn([C@H]3C[C@H](O)[C@@H](COP(=O)(O)OP(=O)(O)OP(=O)(O)O)O3)c2[nH]1</t>
  </si>
  <si>
    <t>dgtp</t>
  </si>
  <si>
    <t>O=C(O)CC(=O)C(=O)O</t>
  </si>
  <si>
    <t>oxaloacetate</t>
  </si>
  <si>
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AHLDPDIAEDVAFAESRIRRETIAAEDVLHDLGAFSLTSSDSQAMGRVGEVILRTWQVAHRMKVQRGALAEETGDNDNFRVKRYIAKYTINPALTHGIAHEVGSIEVGKLADLVVWSPAFFGVKPATVIKGGMIAIAPMGDINASIPTPQPVHYRPMFGALGSARHHCRLTFLSQAAAANGVAERLNLRSAIAVVKGCRTVQKADMVHNSLQPNITVDAQTYEVRVDGELITSEPADVLPMAQRYFLF</t>
  </si>
  <si>
    <t>N=C(N)O</t>
  </si>
  <si>
    <t>H320A</t>
  </si>
  <si>
    <t>[320]</t>
  </si>
  <si>
    <t>[(320, 'H')]</t>
  </si>
  <si>
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</si>
  <si>
    <t>P18314</t>
  </si>
  <si>
    <t>3.5.1.5</t>
  </si>
  <si>
    <t>urea</t>
  </si>
  <si>
    <t>Enterobacter aerogenes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</si>
  <si>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AASGTARIGRADDSQAVVDKAGRVYGVTGLRVADASIMPTVPTANTNLPTLMLAEKIADAILTQA</t>
  </si>
  <si>
    <t>COc1cc(CO)ccc1O</t>
  </si>
  <si>
    <t>H467A</t>
  </si>
  <si>
    <t>[467]</t>
  </si>
  <si>
    <t>[(467, 'H')]</t>
  </si>
  <si>
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</si>
  <si>
    <t>E4QP00</t>
  </si>
  <si>
    <t>1.1.3.38</t>
  </si>
  <si>
    <t>vanillyl alcohol</t>
  </si>
  <si>
    <t>Methylovorus sp.</t>
  </si>
  <si>
    <t>MTDTYLHETLVFDNKLSYIDNQRDTDGPAILLLPGWCHDHRVYKYLIQELDADFRVIVPNWRGHGLSPCEVPDFGYQEQVKDALEILDQLGVETFLPVSHSHGGWVLVELLEQAGPERAPRGIIMDWLMWAPKPDFAKSLTLLKDPERWREGTHGLFDVWLDGHDEKRVRHHLLEEMADYGYDCWGRSGRVIEDAYGRNGSPMQMMANLTKTRPIRHIFSQPTEPEYEKINSDFAEQHPWFSYAKLGGPTAFPAIDVPDRAAVHIREFATAIRQGQ</t>
  </si>
  <si>
    <t>Cc1[nH]c2ccccc2c(=O)c1O</t>
  </si>
  <si>
    <t>H251A</t>
  </si>
  <si>
    <t>[251]</t>
  </si>
  <si>
    <t>[(251, 'H')]</t>
  </si>
  <si>
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</si>
  <si>
    <t>O31266</t>
  </si>
  <si>
    <t>1.13.11.47</t>
  </si>
  <si>
    <t>1h-3-hydroxy-4-oxoquinaldine</t>
  </si>
  <si>
    <t>Paenarthrobacter nitroguajacolicus</t>
  </si>
  <si>
    <t>MTVKVCVCGGGNGAHTLSGLAASRDGVEVRVLTLFADEAERWTKALGADELTVIVNEKDGTQTEVKSRPKVITKDPEIAISGADVVILTVPAFAHEGYFQAMAPYVQDSALIVGLPSQAGFEFQCRDILGDKAAAVSMMSFETLPWACRIKEFGRKVEVLGTKSVLAASLIKGTAKTVDPLSTLQMLHGAEPVFRLAKHFLEMLIMSYSFVAPAILFGRWGSWDGKPVPEAPLFYQGIDQATADMLTACSNECKDVANAIMAACPGNDLSDVKDIYQWYLEYYHEDIQDDHDLYHAITTNKSYKGLVHPVKAVDGGVAPDFGNRYLTEDIPMGMIVFKGVAIAAGVAIPSNDKLIMWAQEKIGKEYLVDGALTGKDVATTRCPQRYGFNTLDAILTGKK</t>
  </si>
  <si>
    <t>CC(=O)C(=O)[O-]</t>
  </si>
  <si>
    <t>H212A</t>
  </si>
  <si>
    <t>[212]</t>
  </si>
  <si>
    <t>[(212, 'H')]</t>
  </si>
  <si>
    <t>MTVKVCVCGGGNGAHTLSGLAASRDGVEVRVLTLFADEAERWTKALGADELTVIVNEKDGTQTEVKSRPKVITKDPEIAISGADVVILTVPAFAHEGYFQAMAPYVQDSALIVGLPSQAGFEFQCRDILGDKAAAVSMMSFETLPWACRIKEFGRKVEVLGTKSVLAASLIKGTAKTVDPLSTLQMLHGAEPVFRLAKHFLEMLIMSYSFVHPAILFGRWGSWDGKPVPEAPLFYQGIDQATADMLTACSNECKDVANAIMAACPGNDLSDVKDIYQWYLEYYHEDIQDDHDLYHAITTNKSYKGLVHPVKAVDGGVAPDFGNRYLTEDIPMGMIVFKGVAIAAGVAIPSNDKLIMWAQEKIGKEYLVDGALTGKDVATTRCPQRYGFNTLDAILTGKK</t>
  </si>
  <si>
    <t>Q9BHM6</t>
  </si>
  <si>
    <t>1.5.1.11</t>
  </si>
  <si>
    <t>pyruvate</t>
  </si>
  <si>
    <t>Pecten maximus</t>
  </si>
  <si>
    <t>N=C(N)NCCC[C@H](N)C(=O)O</t>
  </si>
  <si>
    <t>l-arg</t>
  </si>
  <si>
    <t>N=C(O)C1=CN([C@@H]2O[C@H](COP(=O)(O)OP(=O)(O)OC[C@H]3O[C@@H](n4cnc5c(N)ncnc54)[C@H](O)[C@@H]3O)[C@@H](O)[C@H]2O)C=CC1</t>
  </si>
  <si>
    <t>nadh</t>
  </si>
  <si>
    <t>MVSVSEIRKAQRAEGPATILAIGTANPANCVEQSTYPDFYFKITNSEHKTELKEKFQRMCDKSMIKRRYMYLTEEILKENPNVCEYMAPSLDARQDMVVVEVPRLGKEAAVKAIKEWGQPKSKITHLIVCTTSGVDMPGADYQLTKLLGLRPYVKRYMMYQQGAFAGGTVLRLAKDLAENNKGARVLVVCSEVTAVTFRGPSDTHLDSLVGQALFGDGAAALIVGSDPVPEIEKPIFEMVWTAQTIAPDSEGAIDGHLREAGLTFHLLKDVPGIVSKNITKALVEAFEPLGISDYNSIFWIAHPGGPAILDQVEQKLALKPEKMNATREVLSEYGNMSSACVLFILDEMRKKSTQNGLKTTGEGLEWGVLFGFGPGLTIETVVLRSVAI</t>
  </si>
  <si>
    <t>CC(C)(COP(=O)(O)OP(=O)(O)OC[C@H]1O[C@@H](n2cnc3c(N)ncnc32)[C@H](O)[C@@H]1OP(=O)(O)O)[C@@H](O)C(O)=NCCC(O)=NCCSC(=O)CC(=O)O</t>
  </si>
  <si>
    <t>C164A</t>
  </si>
  <si>
    <t>[164]</t>
  </si>
  <si>
    <t>[(164, 'C')]</t>
  </si>
  <si>
    <t>MVSVSEIRKAQRAEGPATILAIGTANPANCVEQSTYPDFYFKITNSEHKTELKEKFQRMCDKSMIKRRYMYLTEEILKENPNVCEYMAPSLDARQDMVVVEVPRLGKEAAVKAIKEWGQPKSKITHLIVCTTSGVDMPGADYQLTKLLGLRPYVKRYMMYQQGCFAGGTVLRLAKDLAENNKGARVLVVCSEVTAVTFRGPSDTHLDSLVGQALFGDGAAALIVGSDPVPEIEKPIFEMVWTAQTIAPDSEGAIDGHLREAGLTFHLLKDVPGIVSKNITKALVEAFEPLGISDYNSIFWIAHPGGPAILDQVEQKLALKPEKMNATREVLSEYGNMSSACVLFILDEMRKKSTQNGLKTTGEGLEWGVLFGFGPGLTIETVVLRSVAI</t>
  </si>
  <si>
    <t>P30074</t>
  </si>
  <si>
    <t>2.3.1.74</t>
  </si>
  <si>
    <t>malonyl-coa</t>
  </si>
  <si>
    <t>Medicago sativa</t>
  </si>
  <si>
    <t>MVTGGMASKWDQKGMDIAYEEAALGYKEGGVPIGGCLINNKDGSVLGRGHNMRFQKGSATLHGAISTLENCGRLEGKVYKDTTLYTTLSPCDMCTGAIIMYGIPRCVVGENVNFKSKGEKYLQTRGHEVVVVDDERCKKIMKQFIDERPQDWFEDIGE</t>
  </si>
  <si>
    <t>N=c1[nH]c(O)ncc1F</t>
  </si>
  <si>
    <t>E64A</t>
  </si>
  <si>
    <t>[64]</t>
  </si>
  <si>
    <t>[(64, 'E')]</t>
  </si>
  <si>
    <t>MVTGGMASKWDQKGMDIAYEEAALGYKEGGVPIGGCLINNKDGSVLGRGHNMRFQKGSATLHGEISTLENCGRLEGKVYKDTTLYTTLSPCDMCTGAIIMYGIPRCVVGENVNFKSKGEKYLQTRGHEVVVVDDERCKKIMKQFIDERPQDWFEDIGE</t>
  </si>
  <si>
    <t>Q12178</t>
  </si>
  <si>
    <t>3.5.4.1</t>
  </si>
  <si>
    <t>5-fluorocytosine</t>
  </si>
  <si>
    <t>Saccharomyces cerevisiae</t>
  </si>
  <si>
    <t>WT_ExactMatch</t>
  </si>
  <si>
    <t>MD_ExactMatch</t>
  </si>
  <si>
    <t>WT_Within1</t>
  </si>
  <si>
    <t>MD_Within1</t>
  </si>
  <si>
    <t>Accurate</t>
  </si>
  <si>
    <t>E-Accurate</t>
  </si>
  <si>
    <t>kcat_km_consistent</t>
  </si>
  <si>
    <t>kcat_wt_true</t>
  </si>
  <si>
    <t>kcat_wt_pred</t>
  </si>
  <si>
    <t>km_wt_true</t>
  </si>
  <si>
    <t>km_wt_pred</t>
  </si>
  <si>
    <t>kcat_md_pred</t>
  </si>
  <si>
    <t>kcat_md_true</t>
  </si>
  <si>
    <t>km_md_pred</t>
  </si>
  <si>
    <t>km_md_true</t>
  </si>
  <si>
    <t>km_drop_class</t>
  </si>
  <si>
    <t>kcat_drop_class</t>
  </si>
  <si>
    <t>idx_0</t>
  </si>
  <si>
    <t>Isomeric SMILES</t>
  </si>
  <si>
    <t>modified_seq</t>
  </si>
  <si>
    <t>idx_DB</t>
  </si>
  <si>
    <t>Organism-Pathway</t>
  </si>
  <si>
    <t>UniprotID_y</t>
  </si>
  <si>
    <t>Canonical SMILES</t>
  </si>
  <si>
    <t>KCAT</t>
  </si>
  <si>
    <t>Dlkcat_0</t>
  </si>
  <si>
    <t>Dlkcat_mod</t>
  </si>
  <si>
    <t>Catpred_0</t>
  </si>
  <si>
    <t>Catpred_mod</t>
  </si>
  <si>
    <t>UniKP_0</t>
  </si>
  <si>
    <t>UniKP_mod</t>
  </si>
  <si>
    <t>EITLEM_0</t>
  </si>
  <si>
    <t>EITLEM_mod</t>
  </si>
  <si>
    <t>KinDL_0</t>
  </si>
  <si>
    <t>KinDL_pred</t>
  </si>
  <si>
    <t>KinDL_mod</t>
  </si>
  <si>
    <t>KM</t>
  </si>
  <si>
    <t>Substrate Name</t>
  </si>
  <si>
    <t>Y55</t>
  </si>
  <si>
    <t>H479</t>
  </si>
  <si>
    <t>C186, T188</t>
  </si>
  <si>
    <t>E264, C301</t>
  </si>
  <si>
    <t>C130, H256</t>
  </si>
  <si>
    <t>H454, C839</t>
  </si>
  <si>
    <t>E212, K346</t>
  </si>
  <si>
    <t>Y133, K161</t>
  </si>
  <si>
    <t>Catalytic Residues</t>
  </si>
  <si>
    <t>UniProt ID</t>
  </si>
  <si>
    <t>kcat [1/s]</t>
  </si>
  <si>
    <t>KM [mM]</t>
  </si>
  <si>
    <t>WT True</t>
  </si>
  <si>
    <t>WT Pred</t>
  </si>
  <si>
    <t>Mutant</t>
  </si>
  <si>
    <t>Drop</t>
  </si>
  <si>
    <t>Expected</t>
  </si>
  <si>
    <t>Match</t>
  </si>
  <si>
    <t>kcat Predictions</t>
  </si>
  <si>
    <t>km predictions</t>
  </si>
  <si>
    <t>+</t>
  </si>
  <si>
    <t>-</t>
  </si>
  <si>
    <t>x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</si>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</sst>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71" formatCode="0.0E+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1" xfId="0" applyFont="1" applyBorder="1" applyAlignment="1">
      <alignment horizontal="center" vertical="top"/>
    </xf>
    <xf numFmtId="11" fontId="0" fillId="0" borderId="0" xfId="0" applyNumberFormat="1"/>
    <xf numFmtId="0" fontId="3" fillId="2" borderId="1" xfId="0" applyFont="1" applyFill="1" applyBorder="1" applyAlignment="1">
      <alignment horizontal="center" vertical="top"/>
    </xf>
    <xf numFmtId="0" fontId="0" fillId="0" borderId="1" xfId="0" applyBorder="1"/>
    <xf numFmtId="11" fontId="0" fillId="0" borderId="1" xfId="0" applyNumberFormat="1" applyBorder="1"/>
    <xf numFmtId="0" fontId="2" fillId="2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0" fillId="2" borderId="1" xfId="0" applyFill="1" applyBorder="1"/>
    <xf numFmtId="0" fontId="2" fillId="2" borderId="1" xfId="0" applyFont="1" applyFill="1" applyBorder="1"/>
    <xf numFmtId="11" fontId="2" fillId="2" borderId="1" xfId="0" applyNumberFormat="1" applyFont="1" applyFill="1" applyBorder="1"/>
    <xf numFmtId="0" fontId="3" fillId="3" borderId="1" xfId="0" applyFont="1" applyFill="1" applyBorder="1" applyAlignment="1">
      <alignment horizontal="center" vertical="top"/>
    </xf>
    <xf numFmtId="11" fontId="0" fillId="3" borderId="1" xfId="0" applyNumberFormat="1" applyFill="1" applyBorder="1"/>
    <xf numFmtId="0" fontId="0" fillId="3" borderId="1" xfId="0" applyFill="1" applyBorder="1"/>
    <xf numFmtId="0" fontId="2" fillId="3" borderId="1" xfId="0" applyNumberFormat="1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4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0" fillId="4" borderId="0" xfId="0" applyFill="1"/>
    <xf numFmtId="11" fontId="0" fillId="4" borderId="0" xfId="0" applyNumberFormat="1" applyFill="1"/>
    <xf numFmtId="11" fontId="2" fillId="4" borderId="1" xfId="0" applyNumberFormat="1" applyFont="1" applyFill="1" applyBorder="1"/>
    <xf numFmtId="0" fontId="2" fillId="4" borderId="1" xfId="0" applyFont="1" applyFill="1" applyBorder="1"/>
    <xf numFmtId="11" fontId="0" fillId="4" borderId="1" xfId="0" applyNumberFormat="1" applyFill="1" applyBorder="1"/>
    <xf numFmtId="0" fontId="0" fillId="4" borderId="1" xfId="0" applyFill="1" applyBorder="1"/>
    <xf numFmtId="0" fontId="2" fillId="0" borderId="0" xfId="0" applyFont="1"/>
    <xf numFmtId="164" fontId="3" fillId="5" borderId="3" xfId="0" applyNumberFormat="1" applyFont="1" applyFill="1" applyBorder="1" applyAlignment="1">
      <alignment horizontal="center" vertical="top"/>
    </xf>
    <xf numFmtId="165" fontId="3" fillId="0" borderId="3" xfId="0" applyNumberFormat="1" applyFont="1" applyBorder="1" applyAlignment="1">
      <alignment horizontal="center" vertical="top"/>
    </xf>
    <xf numFmtId="165" fontId="2" fillId="0" borderId="0" xfId="0" applyNumberFormat="1" applyFont="1"/>
    <xf numFmtId="165" fontId="2" fillId="5" borderId="0" xfId="0" applyNumberFormat="1" applyFont="1" applyFill="1"/>
    <xf numFmtId="164" fontId="2" fillId="0" borderId="0" xfId="0" applyNumberFormat="1" applyFont="1" applyFill="1"/>
    <xf numFmtId="0" fontId="2" fillId="0" borderId="0" xfId="0" applyFont="1" applyFill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1" fontId="0" fillId="0" borderId="1" xfId="0" applyNumberFormat="1" applyBorder="1"/>
    <xf numFmtId="171" fontId="0" fillId="0" borderId="0" xfId="0" applyNumberFormat="1"/>
    <xf numFmtId="17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A4DB-66C4-496B-A805-602596B5C4A9}">
  <dimension ref="A1:AX23"/>
  <sheetViews>
    <sheetView tabSelected="1" workbookViewId="0">
      <pane ySplit="1" topLeftCell="A2" activePane="bottomLeft" state="frozen"/>
      <selection activeCell="X1" sqref="X1"/>
      <selection pane="bottomLeft" activeCell="Q29" sqref="Q29"/>
    </sheetView>
  </sheetViews>
  <sheetFormatPr defaultRowHeight="15" x14ac:dyDescent="0.25"/>
  <cols>
    <col min="28" max="28" width="11.85546875" bestFit="1" customWidth="1"/>
    <col min="30" max="30" width="12" bestFit="1" customWidth="1"/>
  </cols>
  <sheetData>
    <row r="1" spans="1:50" x14ac:dyDescent="0.25">
      <c r="A1" s="1" t="s">
        <v>120</v>
      </c>
      <c r="B1" s="1" t="s">
        <v>2</v>
      </c>
      <c r="C1" s="1" t="s">
        <v>3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18</v>
      </c>
      <c r="R1" s="1" t="s">
        <v>19</v>
      </c>
      <c r="S1" s="1" t="s">
        <v>134</v>
      </c>
      <c r="T1" s="1" t="s">
        <v>14</v>
      </c>
      <c r="U1" s="1" t="s">
        <v>4</v>
      </c>
      <c r="V1" s="1" t="s">
        <v>5</v>
      </c>
      <c r="W1" s="1" t="s">
        <v>135</v>
      </c>
      <c r="X1" s="1" t="s">
        <v>20</v>
      </c>
      <c r="Y1" s="7" t="s">
        <v>21</v>
      </c>
      <c r="Z1" s="3" t="s">
        <v>123</v>
      </c>
      <c r="AA1" s="3" t="s">
        <v>293</v>
      </c>
      <c r="AB1" s="3" t="s">
        <v>294</v>
      </c>
      <c r="AC1" s="3" t="s">
        <v>297</v>
      </c>
      <c r="AD1" s="3" t="s">
        <v>298</v>
      </c>
      <c r="AE1" s="3" t="s">
        <v>124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s="11" t="s">
        <v>121</v>
      </c>
      <c r="AM1" s="11" t="s">
        <v>295</v>
      </c>
      <c r="AN1" s="11" t="s">
        <v>296</v>
      </c>
      <c r="AO1" s="11" t="s">
        <v>299</v>
      </c>
      <c r="AP1" s="11" t="s">
        <v>300</v>
      </c>
      <c r="AQ1" s="11" t="s">
        <v>122</v>
      </c>
      <c r="AR1" t="s">
        <v>286</v>
      </c>
      <c r="AS1" t="s">
        <v>287</v>
      </c>
      <c r="AT1" t="s">
        <v>288</v>
      </c>
      <c r="AU1" t="s">
        <v>289</v>
      </c>
      <c r="AV1" t="s">
        <v>290</v>
      </c>
      <c r="AW1" t="s">
        <v>291</v>
      </c>
      <c r="AX1" t="s">
        <v>292</v>
      </c>
    </row>
    <row r="2" spans="1:50" x14ac:dyDescent="0.25">
      <c r="A2">
        <v>0</v>
      </c>
      <c r="B2" t="s">
        <v>136</v>
      </c>
      <c r="C2" t="s">
        <v>137</v>
      </c>
      <c r="D2" s="48">
        <v>2.7999999999999999E-6</v>
      </c>
      <c r="E2" s="48">
        <v>1.7000000000000001E-4</v>
      </c>
      <c r="F2" s="48">
        <v>6.08</v>
      </c>
      <c r="G2" s="48">
        <v>0.03</v>
      </c>
      <c r="H2" s="48">
        <v>2.7999999999999999E-6</v>
      </c>
      <c r="I2" s="48">
        <v>1.7000000000000001E-4</v>
      </c>
      <c r="J2" s="48">
        <v>6.08</v>
      </c>
      <c r="K2" s="48">
        <v>0.03</v>
      </c>
      <c r="L2" s="48">
        <v>2.7999999999999999E-6</v>
      </c>
      <c r="M2" s="48">
        <v>1.7000000000000001E-4</v>
      </c>
      <c r="N2" s="48">
        <v>6.08</v>
      </c>
      <c r="O2" s="2">
        <v>0.03</v>
      </c>
      <c r="P2" t="s">
        <v>138</v>
      </c>
      <c r="Q2" t="s">
        <v>139</v>
      </c>
      <c r="R2" t="s">
        <v>140</v>
      </c>
      <c r="S2" t="s">
        <v>141</v>
      </c>
      <c r="T2" t="s">
        <v>142</v>
      </c>
      <c r="U2" t="s">
        <v>143</v>
      </c>
      <c r="V2" t="s">
        <v>144</v>
      </c>
      <c r="W2" t="s">
        <v>145</v>
      </c>
      <c r="X2">
        <v>312</v>
      </c>
      <c r="Y2">
        <v>35102</v>
      </c>
      <c r="Z2" s="10">
        <v>6.08</v>
      </c>
      <c r="AA2" s="9">
        <v>4</v>
      </c>
      <c r="AB2" s="9">
        <v>2</v>
      </c>
      <c r="AC2" s="9">
        <v>2</v>
      </c>
      <c r="AD2" s="9">
        <v>2</v>
      </c>
      <c r="AE2" s="10">
        <v>0.03</v>
      </c>
      <c r="AF2" t="b">
        <v>0</v>
      </c>
      <c r="AG2" t="b">
        <v>1</v>
      </c>
      <c r="AH2" t="b">
        <v>0</v>
      </c>
      <c r="AI2" t="b">
        <v>1</v>
      </c>
      <c r="AJ2" t="b">
        <v>0</v>
      </c>
      <c r="AK2" t="b">
        <v>0</v>
      </c>
      <c r="AL2" s="12">
        <v>2.7999999999999999E-6</v>
      </c>
      <c r="AM2" s="13">
        <v>0</v>
      </c>
      <c r="AN2" s="13">
        <v>2</v>
      </c>
      <c r="AO2" s="13">
        <v>1</v>
      </c>
      <c r="AP2" s="13">
        <v>2</v>
      </c>
      <c r="AQ2" s="12">
        <v>1.7000000000000001E-4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>
        <f>AK2*AW2</f>
        <v>0</v>
      </c>
    </row>
    <row r="3" spans="1:50" x14ac:dyDescent="0.25">
      <c r="A3">
        <v>1</v>
      </c>
      <c r="B3" t="s">
        <v>146</v>
      </c>
      <c r="C3" t="s">
        <v>147</v>
      </c>
      <c r="D3" s="48">
        <v>3.8000000000000002E-4</v>
      </c>
      <c r="E3" s="48">
        <v>3.7999999999999999E-2</v>
      </c>
      <c r="F3" s="48">
        <v>350</v>
      </c>
      <c r="G3" s="48">
        <v>4.5</v>
      </c>
      <c r="H3" s="48">
        <v>3.8000000000000002E-4</v>
      </c>
      <c r="I3" s="48">
        <v>3.7999999999999999E-2</v>
      </c>
      <c r="J3" s="48">
        <v>350</v>
      </c>
      <c r="K3" s="48">
        <v>4.5</v>
      </c>
      <c r="L3" s="48">
        <v>3.8000000000000002E-4</v>
      </c>
      <c r="M3" s="48">
        <v>3.7999999999999999E-2</v>
      </c>
      <c r="N3" s="48">
        <v>350</v>
      </c>
      <c r="O3" s="2">
        <v>4.5</v>
      </c>
      <c r="P3" t="s">
        <v>148</v>
      </c>
      <c r="Q3" t="s">
        <v>149</v>
      </c>
      <c r="R3" t="s">
        <v>150</v>
      </c>
      <c r="S3" t="s">
        <v>151</v>
      </c>
      <c r="T3" t="s">
        <v>152</v>
      </c>
      <c r="U3" t="s">
        <v>153</v>
      </c>
      <c r="V3" t="s">
        <v>154</v>
      </c>
      <c r="W3" t="s">
        <v>155</v>
      </c>
      <c r="X3">
        <v>262</v>
      </c>
      <c r="Y3">
        <v>28073</v>
      </c>
      <c r="Z3" s="10">
        <v>350</v>
      </c>
      <c r="AA3" s="9">
        <v>6</v>
      </c>
      <c r="AB3" s="9">
        <v>5</v>
      </c>
      <c r="AC3" s="9">
        <v>4</v>
      </c>
      <c r="AD3" s="9">
        <v>4</v>
      </c>
      <c r="AE3" s="10">
        <v>4.5</v>
      </c>
      <c r="AF3" t="b">
        <v>0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s="12">
        <v>3.8000000000000002E-4</v>
      </c>
      <c r="AM3" s="13">
        <v>2</v>
      </c>
      <c r="AN3" s="13">
        <v>1</v>
      </c>
      <c r="AO3" s="13">
        <v>1</v>
      </c>
      <c r="AP3" s="13">
        <v>4</v>
      </c>
      <c r="AQ3" s="12">
        <v>3.7999999999999999E-2</v>
      </c>
      <c r="AR3" t="b">
        <v>0</v>
      </c>
      <c r="AS3" t="b">
        <v>0</v>
      </c>
      <c r="AT3" t="b">
        <v>1</v>
      </c>
      <c r="AU3" t="b">
        <v>0</v>
      </c>
      <c r="AV3" t="b">
        <v>0</v>
      </c>
      <c r="AW3" t="b">
        <v>0</v>
      </c>
      <c r="AX3">
        <f>AK3*AW3</f>
        <v>0</v>
      </c>
    </row>
    <row r="4" spans="1:50" x14ac:dyDescent="0.25">
      <c r="A4">
        <v>2</v>
      </c>
      <c r="B4" t="s">
        <v>146</v>
      </c>
      <c r="C4" t="s">
        <v>156</v>
      </c>
      <c r="D4" s="48">
        <v>6.0000000000000002E-6</v>
      </c>
      <c r="E4" s="48">
        <v>3.7999999999999999E-2</v>
      </c>
      <c r="F4" s="48">
        <v>353</v>
      </c>
      <c r="G4" s="48">
        <v>4.5</v>
      </c>
      <c r="H4" s="48">
        <v>5.3000000000000001E-6</v>
      </c>
      <c r="I4" s="48">
        <v>3.7999999999999999E-2</v>
      </c>
      <c r="J4" s="48">
        <v>350</v>
      </c>
      <c r="K4" s="48">
        <v>4.5</v>
      </c>
      <c r="L4" s="48">
        <v>1.7499999999999998E-5</v>
      </c>
      <c r="M4" s="48">
        <v>3.7999999999999999E-2</v>
      </c>
      <c r="N4" s="48">
        <v>353.46</v>
      </c>
      <c r="O4" s="2">
        <v>4.5</v>
      </c>
      <c r="P4" t="s">
        <v>148</v>
      </c>
      <c r="Q4" t="s">
        <v>149</v>
      </c>
      <c r="R4" t="s">
        <v>150</v>
      </c>
      <c r="S4" t="s">
        <v>151</v>
      </c>
      <c r="T4" t="s">
        <v>152</v>
      </c>
      <c r="U4" t="s">
        <v>153</v>
      </c>
      <c r="V4" t="s">
        <v>157</v>
      </c>
      <c r="W4" t="s">
        <v>155</v>
      </c>
      <c r="X4">
        <v>262</v>
      </c>
      <c r="Y4">
        <v>28073</v>
      </c>
      <c r="Z4" s="10">
        <v>353</v>
      </c>
      <c r="AA4" s="9">
        <v>6</v>
      </c>
      <c r="AB4" s="9">
        <v>4</v>
      </c>
      <c r="AC4" s="9">
        <v>4</v>
      </c>
      <c r="AD4" s="9">
        <v>4</v>
      </c>
      <c r="AE4" s="10">
        <v>4.5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0</v>
      </c>
      <c r="AL4" s="12">
        <v>6.0000000000000002E-6</v>
      </c>
      <c r="AM4" s="13">
        <v>0</v>
      </c>
      <c r="AN4" s="13">
        <v>1</v>
      </c>
      <c r="AO4" s="13">
        <v>1</v>
      </c>
      <c r="AP4" s="13">
        <v>4</v>
      </c>
      <c r="AQ4" s="12">
        <v>3.7999999999999999E-2</v>
      </c>
      <c r="AR4" t="b">
        <v>0</v>
      </c>
      <c r="AS4" t="b">
        <v>0</v>
      </c>
      <c r="AT4" t="b">
        <v>1</v>
      </c>
      <c r="AU4" t="b">
        <v>0</v>
      </c>
      <c r="AV4" t="b">
        <v>0</v>
      </c>
      <c r="AW4" t="b">
        <v>0</v>
      </c>
      <c r="AX4">
        <f>AK4*AW4</f>
        <v>0</v>
      </c>
    </row>
    <row r="5" spans="1:50" x14ac:dyDescent="0.25">
      <c r="A5">
        <v>3</v>
      </c>
      <c r="B5" t="s">
        <v>158</v>
      </c>
      <c r="C5" t="s">
        <v>159</v>
      </c>
      <c r="D5" s="48">
        <v>2.9000000000000002E-6</v>
      </c>
      <c r="E5" s="48">
        <v>7.0999999999999998E-6</v>
      </c>
      <c r="F5" s="48">
        <v>2.2000000000000002</v>
      </c>
      <c r="G5" s="48">
        <v>8.3000000000000001E-4</v>
      </c>
      <c r="H5" s="48">
        <v>2.9000000000000002E-6</v>
      </c>
      <c r="I5" s="48">
        <v>7.0999999999999998E-6</v>
      </c>
      <c r="J5" s="48">
        <v>2.2000000000000002</v>
      </c>
      <c r="K5" s="48">
        <v>8.3000000000000001E-4</v>
      </c>
      <c r="L5" s="48">
        <v>2.9000000000000002E-6</v>
      </c>
      <c r="M5" s="48">
        <v>7.0999999999999998E-6</v>
      </c>
      <c r="N5" s="48">
        <v>2.2000000000000002</v>
      </c>
      <c r="O5" s="2">
        <v>8.3000000000000001E-4</v>
      </c>
      <c r="P5" t="s">
        <v>160</v>
      </c>
      <c r="Q5" t="s">
        <v>161</v>
      </c>
      <c r="R5" t="s">
        <v>162</v>
      </c>
      <c r="S5" t="s">
        <v>163</v>
      </c>
      <c r="T5" t="s">
        <v>164</v>
      </c>
      <c r="U5" t="s">
        <v>165</v>
      </c>
      <c r="V5" t="s">
        <v>166</v>
      </c>
      <c r="W5" t="s">
        <v>145</v>
      </c>
      <c r="X5">
        <v>875</v>
      </c>
      <c r="Y5">
        <v>99985</v>
      </c>
      <c r="Z5" s="10">
        <v>2.2000000000000002</v>
      </c>
      <c r="AA5" s="9">
        <v>4</v>
      </c>
      <c r="AB5" s="9">
        <v>1</v>
      </c>
      <c r="AC5" s="9">
        <v>1</v>
      </c>
      <c r="AD5" s="9">
        <v>1</v>
      </c>
      <c r="AE5" s="10">
        <v>8.3000000000000001E-4</v>
      </c>
      <c r="AF5" t="b">
        <v>0</v>
      </c>
      <c r="AG5" t="b">
        <v>1</v>
      </c>
      <c r="AH5" t="b">
        <v>0</v>
      </c>
      <c r="AI5" t="b">
        <v>1</v>
      </c>
      <c r="AJ5" t="b">
        <v>0</v>
      </c>
      <c r="AK5" t="b">
        <v>0</v>
      </c>
      <c r="AL5" s="12">
        <v>2.9000000000000002E-6</v>
      </c>
      <c r="AM5" s="13">
        <v>0</v>
      </c>
      <c r="AN5" s="13">
        <v>0</v>
      </c>
      <c r="AO5" s="13">
        <v>0</v>
      </c>
      <c r="AP5" s="13">
        <v>0</v>
      </c>
      <c r="AQ5" s="12">
        <v>7.0999999999999998E-6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>
        <f>AK5*AW5</f>
        <v>0</v>
      </c>
    </row>
    <row r="6" spans="1:50" x14ac:dyDescent="0.25">
      <c r="A6">
        <v>4</v>
      </c>
      <c r="B6" t="s">
        <v>167</v>
      </c>
      <c r="C6" t="s">
        <v>168</v>
      </c>
      <c r="D6" s="48">
        <v>4.0000000000000003E-5</v>
      </c>
      <c r="E6" s="48">
        <v>2.1000000000000001E-4</v>
      </c>
      <c r="F6" s="48">
        <v>56.5</v>
      </c>
      <c r="G6" s="48">
        <v>1.1999999999999999E-3</v>
      </c>
      <c r="H6" s="48">
        <v>2.5000000000000002E-6</v>
      </c>
      <c r="I6" s="48">
        <v>2.1000000000000001E-4</v>
      </c>
      <c r="J6" s="48">
        <v>13</v>
      </c>
      <c r="K6" s="48">
        <v>1.1999999999999999E-3</v>
      </c>
      <c r="L6" s="48">
        <v>1.1E-4</v>
      </c>
      <c r="M6" s="48">
        <v>2.1000000000000001E-4</v>
      </c>
      <c r="N6" s="48">
        <v>100</v>
      </c>
      <c r="O6" s="2">
        <v>1.1999999999999999E-3</v>
      </c>
      <c r="P6" t="s">
        <v>169</v>
      </c>
      <c r="Q6" t="s">
        <v>170</v>
      </c>
      <c r="R6" t="s">
        <v>171</v>
      </c>
      <c r="S6" t="s">
        <v>172</v>
      </c>
      <c r="T6" t="s">
        <v>173</v>
      </c>
      <c r="U6" t="s">
        <v>174</v>
      </c>
      <c r="V6" t="s">
        <v>175</v>
      </c>
      <c r="W6" t="s">
        <v>155</v>
      </c>
      <c r="X6">
        <v>427</v>
      </c>
      <c r="Y6">
        <v>46096</v>
      </c>
      <c r="Z6" s="10">
        <v>56.5</v>
      </c>
      <c r="AA6" s="9">
        <v>5</v>
      </c>
      <c r="AB6" s="9">
        <v>5</v>
      </c>
      <c r="AC6" s="9">
        <v>4</v>
      </c>
      <c r="AD6" s="9">
        <v>1</v>
      </c>
      <c r="AE6" s="10">
        <v>1.1999999999999999E-3</v>
      </c>
      <c r="AF6" t="b">
        <v>1</v>
      </c>
      <c r="AG6" t="b">
        <v>0</v>
      </c>
      <c r="AH6" t="b">
        <v>1</v>
      </c>
      <c r="AI6" t="b">
        <v>0</v>
      </c>
      <c r="AJ6" t="b">
        <v>0</v>
      </c>
      <c r="AK6" t="b">
        <v>0</v>
      </c>
      <c r="AL6" s="12">
        <v>4.0000000000000003E-5</v>
      </c>
      <c r="AM6" s="13">
        <v>1</v>
      </c>
      <c r="AN6" s="13">
        <v>2</v>
      </c>
      <c r="AO6" s="13">
        <v>2</v>
      </c>
      <c r="AP6" s="13">
        <v>2</v>
      </c>
      <c r="AQ6" s="12">
        <v>2.1000000000000001E-4</v>
      </c>
      <c r="AR6" t="b">
        <v>0</v>
      </c>
      <c r="AS6" t="b">
        <v>1</v>
      </c>
      <c r="AT6" t="b">
        <v>1</v>
      </c>
      <c r="AU6" t="b">
        <v>1</v>
      </c>
      <c r="AV6" t="b">
        <v>0</v>
      </c>
      <c r="AW6" t="b">
        <v>1</v>
      </c>
      <c r="AX6">
        <f>AK6*AW6</f>
        <v>0</v>
      </c>
    </row>
    <row r="7" spans="1:50" x14ac:dyDescent="0.25">
      <c r="A7">
        <v>5</v>
      </c>
      <c r="B7" t="s">
        <v>167</v>
      </c>
      <c r="C7" t="s">
        <v>176</v>
      </c>
      <c r="D7" s="48">
        <v>1.8E-5</v>
      </c>
      <c r="E7" s="48">
        <v>2.1000000000000001E-4</v>
      </c>
      <c r="F7" s="48">
        <v>100</v>
      </c>
      <c r="G7" s="48">
        <v>1.1999999999999999E-3</v>
      </c>
      <c r="H7" s="48">
        <v>1.8E-5</v>
      </c>
      <c r="I7" s="48">
        <v>2.1000000000000001E-4</v>
      </c>
      <c r="J7" s="48">
        <v>100</v>
      </c>
      <c r="K7" s="48">
        <v>1.1999999999999999E-3</v>
      </c>
      <c r="L7" s="48">
        <v>1.8E-5</v>
      </c>
      <c r="M7" s="48">
        <v>2.1000000000000001E-4</v>
      </c>
      <c r="N7" s="48">
        <v>100</v>
      </c>
      <c r="O7" s="2">
        <v>1.1999999999999999E-3</v>
      </c>
      <c r="P7" t="s">
        <v>169</v>
      </c>
      <c r="Q7" t="s">
        <v>170</v>
      </c>
      <c r="R7" t="s">
        <v>171</v>
      </c>
      <c r="S7" t="s">
        <v>172</v>
      </c>
      <c r="T7" t="s">
        <v>173</v>
      </c>
      <c r="U7" t="s">
        <v>174</v>
      </c>
      <c r="V7" t="s">
        <v>177</v>
      </c>
      <c r="W7" t="s">
        <v>155</v>
      </c>
      <c r="X7">
        <v>427</v>
      </c>
      <c r="Y7">
        <v>46096</v>
      </c>
      <c r="Z7" s="10">
        <v>100</v>
      </c>
      <c r="AA7" s="9">
        <v>5</v>
      </c>
      <c r="AB7" s="9">
        <v>4</v>
      </c>
      <c r="AC7" s="9">
        <v>4</v>
      </c>
      <c r="AD7" s="9">
        <v>1</v>
      </c>
      <c r="AE7" s="10">
        <v>1.1999999999999999E-3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s="12">
        <v>1.8E-5</v>
      </c>
      <c r="AM7" s="13">
        <v>1</v>
      </c>
      <c r="AN7" s="13">
        <v>2</v>
      </c>
      <c r="AO7" s="13">
        <v>2</v>
      </c>
      <c r="AP7" s="13">
        <v>2</v>
      </c>
      <c r="AQ7" s="12">
        <v>2.1000000000000001E-4</v>
      </c>
      <c r="AR7" t="b">
        <v>0</v>
      </c>
      <c r="AS7" t="b">
        <v>1</v>
      </c>
      <c r="AT7" t="b">
        <v>1</v>
      </c>
      <c r="AU7" t="b">
        <v>1</v>
      </c>
      <c r="AV7" t="b">
        <v>0</v>
      </c>
      <c r="AW7" t="b">
        <v>1</v>
      </c>
      <c r="AX7">
        <f>AK7*AW7</f>
        <v>0</v>
      </c>
    </row>
    <row r="8" spans="1:50" s="19" customFormat="1" x14ac:dyDescent="0.25">
      <c r="A8" s="19">
        <v>6</v>
      </c>
      <c r="B8" s="19" t="s">
        <v>178</v>
      </c>
      <c r="C8" s="19" t="s">
        <v>179</v>
      </c>
      <c r="D8" s="49">
        <v>2.5000000000000001E-4</v>
      </c>
      <c r="E8" s="49">
        <v>2.9000000000000001E-2</v>
      </c>
      <c r="F8" s="49">
        <v>37.200000000000003</v>
      </c>
      <c r="G8" s="49">
        <v>1.1000000000000001</v>
      </c>
      <c r="H8" s="49">
        <v>2.5000000000000001E-4</v>
      </c>
      <c r="I8" s="49">
        <v>2.9000000000000001E-2</v>
      </c>
      <c r="J8" s="49">
        <v>14.4</v>
      </c>
      <c r="K8" s="49">
        <v>1.1000000000000001</v>
      </c>
      <c r="L8" s="49">
        <v>2.5000000000000001E-4</v>
      </c>
      <c r="M8" s="49">
        <v>2.9000000000000001E-2</v>
      </c>
      <c r="N8" s="49">
        <v>60</v>
      </c>
      <c r="O8" s="20">
        <v>1.1000000000000001</v>
      </c>
      <c r="P8" s="19" t="s">
        <v>180</v>
      </c>
      <c r="Q8" s="19" t="s">
        <v>181</v>
      </c>
      <c r="R8" s="19" t="s">
        <v>182</v>
      </c>
      <c r="S8" s="19" t="s">
        <v>183</v>
      </c>
      <c r="T8" s="19" t="s">
        <v>184</v>
      </c>
      <c r="U8" s="19" t="s">
        <v>185</v>
      </c>
      <c r="V8" s="19" t="s">
        <v>186</v>
      </c>
      <c r="W8" s="19" t="s">
        <v>187</v>
      </c>
      <c r="X8" s="19">
        <v>546</v>
      </c>
      <c r="Y8" s="19">
        <v>59830</v>
      </c>
      <c r="Z8" s="21">
        <v>37.200000000000003</v>
      </c>
      <c r="AA8" s="22">
        <v>5</v>
      </c>
      <c r="AB8" s="22">
        <v>4</v>
      </c>
      <c r="AC8" s="22">
        <v>4</v>
      </c>
      <c r="AD8" s="22">
        <v>4</v>
      </c>
      <c r="AE8" s="21">
        <v>1.1000000000000001</v>
      </c>
      <c r="AF8" s="19" t="b">
        <v>0</v>
      </c>
      <c r="AG8" s="19" t="b">
        <v>1</v>
      </c>
      <c r="AH8" s="19" t="b">
        <v>1</v>
      </c>
      <c r="AI8" s="19" t="b">
        <v>1</v>
      </c>
      <c r="AJ8" s="19" t="b">
        <v>0</v>
      </c>
      <c r="AK8" s="19" t="b">
        <v>1</v>
      </c>
      <c r="AL8" s="23">
        <v>2.5000000000000001E-4</v>
      </c>
      <c r="AM8" s="24">
        <v>2</v>
      </c>
      <c r="AN8" s="24">
        <v>2</v>
      </c>
      <c r="AO8" s="24">
        <v>2</v>
      </c>
      <c r="AP8" s="24">
        <v>4</v>
      </c>
      <c r="AQ8" s="23">
        <v>2.9000000000000001E-2</v>
      </c>
      <c r="AR8" s="19" t="b">
        <v>1</v>
      </c>
      <c r="AS8" s="19" t="b">
        <v>0</v>
      </c>
      <c r="AT8" s="19" t="b">
        <v>1</v>
      </c>
      <c r="AU8" s="19" t="b">
        <v>0</v>
      </c>
      <c r="AV8" s="19" t="b">
        <v>0</v>
      </c>
      <c r="AW8" s="19" t="b">
        <v>0</v>
      </c>
      <c r="AX8" s="19">
        <f>AK8*AW8</f>
        <v>0</v>
      </c>
    </row>
    <row r="9" spans="1:50" x14ac:dyDescent="0.25">
      <c r="A9">
        <v>7</v>
      </c>
      <c r="B9" t="s">
        <v>188</v>
      </c>
      <c r="C9" t="s">
        <v>189</v>
      </c>
      <c r="D9" s="48">
        <v>3.0000000000000001E-5</v>
      </c>
      <c r="E9" s="48">
        <v>4.3999999999999997E-2</v>
      </c>
      <c r="F9" s="48">
        <v>25</v>
      </c>
      <c r="G9" s="48">
        <v>1.4999999999999999E-2</v>
      </c>
      <c r="H9" s="48">
        <v>3.9999999999999998E-6</v>
      </c>
      <c r="I9" s="48">
        <v>4.3999999999999997E-2</v>
      </c>
      <c r="J9" s="48">
        <v>25</v>
      </c>
      <c r="K9" s="48">
        <v>1.4999999999999999E-2</v>
      </c>
      <c r="L9" s="48">
        <v>1.2E-4</v>
      </c>
      <c r="M9" s="48">
        <v>4.3999999999999997E-2</v>
      </c>
      <c r="N9" s="48">
        <v>25</v>
      </c>
      <c r="O9" s="2">
        <v>1.4999999999999999E-2</v>
      </c>
      <c r="P9" t="s">
        <v>190</v>
      </c>
      <c r="Q9" t="s">
        <v>191</v>
      </c>
      <c r="R9" t="s">
        <v>192</v>
      </c>
      <c r="S9" t="s">
        <v>193</v>
      </c>
      <c r="T9" t="s">
        <v>194</v>
      </c>
      <c r="U9" t="s">
        <v>195</v>
      </c>
      <c r="V9" t="s">
        <v>196</v>
      </c>
      <c r="W9" t="s">
        <v>155</v>
      </c>
      <c r="X9">
        <v>303</v>
      </c>
      <c r="Y9">
        <v>33871</v>
      </c>
      <c r="Z9" s="10">
        <v>25</v>
      </c>
      <c r="AA9" s="9">
        <v>5</v>
      </c>
      <c r="AB9" s="9">
        <v>4</v>
      </c>
      <c r="AC9" s="9">
        <v>2</v>
      </c>
      <c r="AD9" s="9">
        <v>2</v>
      </c>
      <c r="AE9" s="10">
        <v>1.4999999999999999E-2</v>
      </c>
      <c r="AF9" t="b">
        <v>0</v>
      </c>
      <c r="AG9" t="b">
        <v>1</v>
      </c>
      <c r="AH9" t="b">
        <v>1</v>
      </c>
      <c r="AI9" t="b">
        <v>1</v>
      </c>
      <c r="AJ9" t="b">
        <v>0</v>
      </c>
      <c r="AK9" t="b">
        <v>1</v>
      </c>
      <c r="AL9" s="12">
        <v>3.0000000000000001E-5</v>
      </c>
      <c r="AM9" s="13">
        <v>1</v>
      </c>
      <c r="AN9" s="13">
        <v>2</v>
      </c>
      <c r="AO9" s="13">
        <v>2</v>
      </c>
      <c r="AP9" s="13">
        <v>4</v>
      </c>
      <c r="AQ9" s="12">
        <v>4.3999999999999997E-2</v>
      </c>
      <c r="AR9" t="b">
        <v>0</v>
      </c>
      <c r="AS9" t="b">
        <v>0</v>
      </c>
      <c r="AT9" t="b">
        <v>1</v>
      </c>
      <c r="AU9" t="b">
        <v>0</v>
      </c>
      <c r="AV9" t="b">
        <v>0</v>
      </c>
      <c r="AW9" t="b">
        <v>0</v>
      </c>
      <c r="AX9">
        <f>AK9*AW9</f>
        <v>0</v>
      </c>
    </row>
    <row r="10" spans="1:50" x14ac:dyDescent="0.25">
      <c r="A10">
        <v>8</v>
      </c>
      <c r="B10" t="s">
        <v>188</v>
      </c>
      <c r="C10" t="s">
        <v>197</v>
      </c>
      <c r="D10" s="48">
        <v>3.8E-3</v>
      </c>
      <c r="E10" s="48">
        <v>4.6999999999999999E-6</v>
      </c>
      <c r="F10" s="48">
        <v>25</v>
      </c>
      <c r="G10" s="48">
        <v>1.4999999999999999E-2</v>
      </c>
      <c r="H10" s="48">
        <v>3.8E-3</v>
      </c>
      <c r="I10" s="48">
        <v>4.6999999999999999E-6</v>
      </c>
      <c r="J10" s="48">
        <v>25</v>
      </c>
      <c r="K10" s="48">
        <v>1.4999999999999999E-2</v>
      </c>
      <c r="L10" s="48">
        <v>3.8E-3</v>
      </c>
      <c r="M10" s="48">
        <v>4.6999999999999999E-6</v>
      </c>
      <c r="N10" s="48">
        <v>25</v>
      </c>
      <c r="O10" s="2">
        <v>1.4999999999999999E-2</v>
      </c>
      <c r="P10" t="s">
        <v>190</v>
      </c>
      <c r="Q10" t="s">
        <v>191</v>
      </c>
      <c r="R10" t="s">
        <v>192</v>
      </c>
      <c r="S10" t="s">
        <v>193</v>
      </c>
      <c r="T10" t="s">
        <v>194</v>
      </c>
      <c r="U10" t="s">
        <v>195</v>
      </c>
      <c r="V10" t="s">
        <v>198</v>
      </c>
      <c r="W10" t="s">
        <v>155</v>
      </c>
      <c r="X10">
        <v>303</v>
      </c>
      <c r="Y10">
        <v>33871</v>
      </c>
      <c r="Z10" s="10">
        <v>25</v>
      </c>
      <c r="AA10" s="9">
        <v>5</v>
      </c>
      <c r="AB10" s="9">
        <v>5</v>
      </c>
      <c r="AC10" s="9">
        <v>3</v>
      </c>
      <c r="AD10" s="9">
        <v>2</v>
      </c>
      <c r="AE10" s="10">
        <v>1.4999999999999999E-2</v>
      </c>
      <c r="AF10" t="b">
        <v>1</v>
      </c>
      <c r="AG10" t="b">
        <v>0</v>
      </c>
      <c r="AH10" t="b">
        <v>1</v>
      </c>
      <c r="AI10" t="b">
        <v>1</v>
      </c>
      <c r="AJ10" t="b">
        <v>0</v>
      </c>
      <c r="AK10" t="b">
        <v>1</v>
      </c>
      <c r="AL10" s="12">
        <v>3.8E-3</v>
      </c>
      <c r="AM10" s="13">
        <v>3</v>
      </c>
      <c r="AN10" s="13">
        <v>0</v>
      </c>
      <c r="AO10" s="13">
        <v>0</v>
      </c>
      <c r="AP10" s="13">
        <v>0</v>
      </c>
      <c r="AQ10" s="12">
        <v>4.6999999999999999E-6</v>
      </c>
      <c r="AR10" t="b">
        <v>0</v>
      </c>
      <c r="AS10" t="b">
        <v>1</v>
      </c>
      <c r="AT10" t="b">
        <v>0</v>
      </c>
      <c r="AU10" t="b">
        <v>1</v>
      </c>
      <c r="AV10" t="b">
        <v>0</v>
      </c>
      <c r="AW10" t="b">
        <v>0</v>
      </c>
      <c r="AX10">
        <f>AK10*AW10</f>
        <v>0</v>
      </c>
    </row>
    <row r="11" spans="1:50" s="19" customFormat="1" x14ac:dyDescent="0.25">
      <c r="A11" s="19">
        <v>9</v>
      </c>
      <c r="B11" s="19" t="s">
        <v>199</v>
      </c>
      <c r="C11" s="19" t="s">
        <v>200</v>
      </c>
      <c r="D11" s="49">
        <v>4.306E-4</v>
      </c>
      <c r="E11" s="49">
        <v>2.7399999999999998E-3</v>
      </c>
      <c r="F11" s="49">
        <v>1.31</v>
      </c>
      <c r="G11" s="49">
        <v>0.2</v>
      </c>
      <c r="H11" s="49">
        <v>4.306E-4</v>
      </c>
      <c r="I11" s="49">
        <v>2.7399999999999998E-3</v>
      </c>
      <c r="J11" s="49">
        <v>1.31</v>
      </c>
      <c r="K11" s="49">
        <v>0.2</v>
      </c>
      <c r="L11" s="49">
        <v>4.306E-4</v>
      </c>
      <c r="M11" s="49">
        <v>2.7399999999999998E-3</v>
      </c>
      <c r="N11" s="49">
        <v>1.31</v>
      </c>
      <c r="O11" s="20">
        <v>0.2</v>
      </c>
      <c r="P11" s="19" t="s">
        <v>201</v>
      </c>
      <c r="Q11" s="19" t="s">
        <v>202</v>
      </c>
      <c r="R11" s="19" t="s">
        <v>203</v>
      </c>
      <c r="S11" s="19" t="s">
        <v>204</v>
      </c>
      <c r="T11" s="19" t="s">
        <v>205</v>
      </c>
      <c r="U11" s="19" t="s">
        <v>206</v>
      </c>
      <c r="V11" s="19" t="s">
        <v>207</v>
      </c>
      <c r="W11" s="19" t="s">
        <v>155</v>
      </c>
      <c r="X11" s="19">
        <v>177</v>
      </c>
      <c r="Y11" s="19">
        <v>18880</v>
      </c>
      <c r="Z11" s="21">
        <v>1.31</v>
      </c>
      <c r="AA11" s="22">
        <v>4</v>
      </c>
      <c r="AB11" s="22">
        <v>5</v>
      </c>
      <c r="AC11" s="22">
        <v>4</v>
      </c>
      <c r="AD11" s="22">
        <v>3</v>
      </c>
      <c r="AE11" s="21">
        <v>0.2</v>
      </c>
      <c r="AF11" s="19" t="b">
        <v>0</v>
      </c>
      <c r="AG11" s="19" t="b">
        <v>0</v>
      </c>
      <c r="AH11" s="19" t="b">
        <v>1</v>
      </c>
      <c r="AI11" s="19" t="b">
        <v>1</v>
      </c>
      <c r="AJ11" s="19" t="b">
        <v>0</v>
      </c>
      <c r="AK11" s="19" t="b">
        <v>1</v>
      </c>
      <c r="AL11" s="23">
        <v>4.306E-4</v>
      </c>
      <c r="AM11" s="24">
        <v>2</v>
      </c>
      <c r="AN11" s="24">
        <v>2</v>
      </c>
      <c r="AO11" s="24">
        <v>2</v>
      </c>
      <c r="AP11" s="24">
        <v>3</v>
      </c>
      <c r="AQ11" s="23">
        <v>2.7399999999999998E-3</v>
      </c>
      <c r="AR11" s="19" t="b">
        <v>1</v>
      </c>
      <c r="AS11" s="19" t="b">
        <v>0</v>
      </c>
      <c r="AT11" s="19" t="b">
        <v>1</v>
      </c>
      <c r="AU11" s="19" t="b">
        <v>1</v>
      </c>
      <c r="AV11" s="19" t="b">
        <v>0</v>
      </c>
      <c r="AW11" s="19" t="b">
        <v>1</v>
      </c>
      <c r="AX11" s="19">
        <f>AK11*AW11</f>
        <v>1</v>
      </c>
    </row>
    <row r="12" spans="1:50" x14ac:dyDescent="0.25">
      <c r="A12">
        <v>10</v>
      </c>
      <c r="B12" t="s">
        <v>208</v>
      </c>
      <c r="C12" t="s">
        <v>168</v>
      </c>
      <c r="D12" s="48">
        <v>5.3000000000000001E-5</v>
      </c>
      <c r="E12" s="48">
        <v>4.8000000000000001E-4</v>
      </c>
      <c r="F12" s="48">
        <v>9.3333329999999997</v>
      </c>
      <c r="G12" s="48">
        <v>1.8</v>
      </c>
      <c r="H12" s="48">
        <v>5.3000000000000001E-5</v>
      </c>
      <c r="I12" s="48">
        <v>4.8000000000000001E-4</v>
      </c>
      <c r="J12" s="48">
        <v>9.3333329999999997</v>
      </c>
      <c r="K12" s="48">
        <v>1.8</v>
      </c>
      <c r="L12" s="48">
        <v>5.3000000000000001E-5</v>
      </c>
      <c r="M12" s="48">
        <v>4.8000000000000001E-4</v>
      </c>
      <c r="N12" s="48">
        <v>9.3333329999999997</v>
      </c>
      <c r="O12" s="2">
        <v>1.8</v>
      </c>
      <c r="P12" t="s">
        <v>209</v>
      </c>
      <c r="Q12" t="s">
        <v>210</v>
      </c>
      <c r="R12" t="s">
        <v>211</v>
      </c>
      <c r="S12" t="s">
        <v>212</v>
      </c>
      <c r="T12" t="s">
        <v>213</v>
      </c>
      <c r="U12" t="s">
        <v>214</v>
      </c>
      <c r="V12" t="s">
        <v>175</v>
      </c>
      <c r="W12" t="s">
        <v>215</v>
      </c>
      <c r="X12">
        <v>643</v>
      </c>
      <c r="Y12">
        <v>72230</v>
      </c>
      <c r="Z12" s="10">
        <v>9.3333329999999997</v>
      </c>
      <c r="AA12" s="9">
        <v>4</v>
      </c>
      <c r="AB12" s="9">
        <v>5</v>
      </c>
      <c r="AC12" s="9">
        <v>5</v>
      </c>
      <c r="AD12" s="9">
        <v>4</v>
      </c>
      <c r="AE12" s="10">
        <v>1.8</v>
      </c>
      <c r="AF12" t="b">
        <v>0</v>
      </c>
      <c r="AG12" t="b">
        <v>0</v>
      </c>
      <c r="AH12" t="b">
        <v>1</v>
      </c>
      <c r="AI12" t="b">
        <v>1</v>
      </c>
      <c r="AJ12" t="b">
        <v>0</v>
      </c>
      <c r="AK12" t="b">
        <v>1</v>
      </c>
      <c r="AL12" s="12">
        <v>5.3000000000000001E-5</v>
      </c>
      <c r="AM12" s="13">
        <v>1</v>
      </c>
      <c r="AN12" s="13">
        <v>2</v>
      </c>
      <c r="AO12" s="13">
        <v>2</v>
      </c>
      <c r="AP12" s="13">
        <v>2</v>
      </c>
      <c r="AQ12" s="12">
        <v>4.8000000000000001E-4</v>
      </c>
      <c r="AR12" t="b">
        <v>0</v>
      </c>
      <c r="AS12" t="b">
        <v>1</v>
      </c>
      <c r="AT12" t="b">
        <v>1</v>
      </c>
      <c r="AU12" t="b">
        <v>1</v>
      </c>
      <c r="AV12" t="b">
        <v>0</v>
      </c>
      <c r="AW12" t="b">
        <v>1</v>
      </c>
      <c r="AX12">
        <f>AK12*AW12</f>
        <v>1</v>
      </c>
    </row>
    <row r="13" spans="1:50" x14ac:dyDescent="0.25">
      <c r="A13">
        <v>11</v>
      </c>
      <c r="B13" t="s">
        <v>208</v>
      </c>
      <c r="C13" t="s">
        <v>216</v>
      </c>
      <c r="D13" s="48">
        <v>2.3E-5</v>
      </c>
      <c r="E13" s="48">
        <v>1.4999999999999999E-4</v>
      </c>
      <c r="F13" s="48">
        <v>6.5</v>
      </c>
      <c r="G13" s="48">
        <v>4.1333330000000004</v>
      </c>
      <c r="H13" s="48">
        <v>2.3E-5</v>
      </c>
      <c r="I13" s="48">
        <v>1.4999999999999999E-4</v>
      </c>
      <c r="J13" s="48">
        <v>6.5</v>
      </c>
      <c r="K13" s="48">
        <v>4.1333330000000004</v>
      </c>
      <c r="L13" s="48">
        <v>2.3E-5</v>
      </c>
      <c r="M13" s="48">
        <v>1.4999999999999999E-4</v>
      </c>
      <c r="N13" s="48">
        <v>6.5</v>
      </c>
      <c r="O13" s="2">
        <v>4.1333330000000004</v>
      </c>
      <c r="P13" t="s">
        <v>209</v>
      </c>
      <c r="Q13" t="s">
        <v>210</v>
      </c>
      <c r="R13" t="s">
        <v>211</v>
      </c>
      <c r="S13" t="s">
        <v>212</v>
      </c>
      <c r="T13" t="s">
        <v>213</v>
      </c>
      <c r="U13" t="s">
        <v>214</v>
      </c>
      <c r="V13" t="s">
        <v>217</v>
      </c>
      <c r="W13" t="s">
        <v>215</v>
      </c>
      <c r="X13">
        <v>643</v>
      </c>
      <c r="Y13">
        <v>72230</v>
      </c>
      <c r="Z13" s="10">
        <v>6.5</v>
      </c>
      <c r="AA13" s="9">
        <v>4</v>
      </c>
      <c r="AB13" s="9">
        <v>5</v>
      </c>
      <c r="AC13" s="9">
        <v>5</v>
      </c>
      <c r="AD13" s="9">
        <v>4</v>
      </c>
      <c r="AE13" s="10">
        <v>4.1333330000000004</v>
      </c>
      <c r="AF13" t="b">
        <v>0</v>
      </c>
      <c r="AG13" t="b">
        <v>0</v>
      </c>
      <c r="AH13" t="b">
        <v>1</v>
      </c>
      <c r="AI13" t="b">
        <v>1</v>
      </c>
      <c r="AJ13" t="b">
        <v>0</v>
      </c>
      <c r="AK13" t="b">
        <v>1</v>
      </c>
      <c r="AL13" s="12">
        <v>2.3E-5</v>
      </c>
      <c r="AM13" s="13">
        <v>1</v>
      </c>
      <c r="AN13" s="13">
        <v>1</v>
      </c>
      <c r="AO13" s="13">
        <v>1</v>
      </c>
      <c r="AP13" s="13">
        <v>2</v>
      </c>
      <c r="AQ13" s="12">
        <v>1.4999999999999999E-4</v>
      </c>
      <c r="AR13" t="b">
        <v>1</v>
      </c>
      <c r="AS13" t="b">
        <v>0</v>
      </c>
      <c r="AT13" t="b">
        <v>1</v>
      </c>
      <c r="AU13" t="b">
        <v>1</v>
      </c>
      <c r="AV13" t="b">
        <v>0</v>
      </c>
      <c r="AW13" t="b">
        <v>1</v>
      </c>
      <c r="AX13">
        <f>AK13*AW13</f>
        <v>1</v>
      </c>
    </row>
    <row r="14" spans="1:50" x14ac:dyDescent="0.25">
      <c r="A14">
        <v>12</v>
      </c>
      <c r="B14" t="s">
        <v>208</v>
      </c>
      <c r="C14" t="s">
        <v>218</v>
      </c>
      <c r="D14" s="48">
        <v>1.0499999999999999E-3</v>
      </c>
      <c r="E14" s="48">
        <v>7.1000000000000002E-4</v>
      </c>
      <c r="F14" s="48">
        <v>3.4</v>
      </c>
      <c r="G14" s="48">
        <v>2.2999999999999998</v>
      </c>
      <c r="H14" s="48">
        <v>1.0499999999999999E-3</v>
      </c>
      <c r="I14" s="48">
        <v>7.1000000000000002E-4</v>
      </c>
      <c r="J14" s="48">
        <v>3.4</v>
      </c>
      <c r="K14" s="48">
        <v>2.2999999999999998</v>
      </c>
      <c r="L14" s="48">
        <v>1.0499999999999999E-3</v>
      </c>
      <c r="M14" s="48">
        <v>7.1000000000000002E-4</v>
      </c>
      <c r="N14" s="48">
        <v>3.4</v>
      </c>
      <c r="O14" s="2">
        <v>2.2999999999999998</v>
      </c>
      <c r="P14" t="s">
        <v>209</v>
      </c>
      <c r="Q14" t="s">
        <v>210</v>
      </c>
      <c r="R14" t="s">
        <v>211</v>
      </c>
      <c r="S14" t="s">
        <v>212</v>
      </c>
      <c r="T14" t="s">
        <v>213</v>
      </c>
      <c r="U14" t="s">
        <v>214</v>
      </c>
      <c r="V14" t="s">
        <v>219</v>
      </c>
      <c r="W14" t="s">
        <v>215</v>
      </c>
      <c r="X14">
        <v>643</v>
      </c>
      <c r="Y14">
        <v>72230</v>
      </c>
      <c r="Z14" s="10">
        <v>3.4</v>
      </c>
      <c r="AA14" s="9">
        <v>4</v>
      </c>
      <c r="AB14" s="9">
        <v>5</v>
      </c>
      <c r="AC14" s="9">
        <v>5</v>
      </c>
      <c r="AD14" s="9">
        <v>4</v>
      </c>
      <c r="AE14" s="10">
        <v>2.2999999999999998</v>
      </c>
      <c r="AF14" t="b">
        <v>0</v>
      </c>
      <c r="AG14" t="b">
        <v>0</v>
      </c>
      <c r="AH14" t="b">
        <v>1</v>
      </c>
      <c r="AI14" t="b">
        <v>1</v>
      </c>
      <c r="AJ14" t="b">
        <v>0</v>
      </c>
      <c r="AK14" t="b">
        <v>1</v>
      </c>
      <c r="AL14" s="12">
        <v>1.0499999999999999E-3</v>
      </c>
      <c r="AM14" s="13">
        <v>3</v>
      </c>
      <c r="AN14" s="13">
        <v>1</v>
      </c>
      <c r="AO14" s="13">
        <v>1</v>
      </c>
      <c r="AP14" s="13">
        <v>2</v>
      </c>
      <c r="AQ14" s="12">
        <v>7.1000000000000002E-4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>
        <f>AK14*AW14</f>
        <v>0</v>
      </c>
    </row>
    <row r="15" spans="1:50" x14ac:dyDescent="0.25">
      <c r="A15">
        <v>13</v>
      </c>
      <c r="B15" t="s">
        <v>208</v>
      </c>
      <c r="C15" t="s">
        <v>220</v>
      </c>
      <c r="D15" s="48">
        <v>5.1E-5</v>
      </c>
      <c r="E15" s="48">
        <v>2.0000000000000001E-4</v>
      </c>
      <c r="F15" s="48">
        <v>17.783329999999999</v>
      </c>
      <c r="G15" s="48">
        <v>14.5</v>
      </c>
      <c r="H15" s="48">
        <v>5.1E-5</v>
      </c>
      <c r="I15" s="48">
        <v>2.0000000000000001E-4</v>
      </c>
      <c r="J15" s="48">
        <v>17.783329999999999</v>
      </c>
      <c r="K15" s="48">
        <v>14.5</v>
      </c>
      <c r="L15" s="48">
        <v>5.1E-5</v>
      </c>
      <c r="M15" s="48">
        <v>2.0000000000000001E-4</v>
      </c>
      <c r="N15" s="48">
        <v>17.783329999999999</v>
      </c>
      <c r="O15" s="2">
        <v>14.5</v>
      </c>
      <c r="P15" t="s">
        <v>209</v>
      </c>
      <c r="Q15" t="s">
        <v>210</v>
      </c>
      <c r="R15" t="s">
        <v>211</v>
      </c>
      <c r="S15" t="s">
        <v>212</v>
      </c>
      <c r="T15" t="s">
        <v>213</v>
      </c>
      <c r="U15" t="s">
        <v>214</v>
      </c>
      <c r="V15" t="s">
        <v>221</v>
      </c>
      <c r="W15" t="s">
        <v>215</v>
      </c>
      <c r="X15">
        <v>643</v>
      </c>
      <c r="Y15">
        <v>72230</v>
      </c>
      <c r="Z15" s="10">
        <v>17.783329999999999</v>
      </c>
      <c r="AA15" s="9">
        <v>5</v>
      </c>
      <c r="AB15" s="9">
        <v>4</v>
      </c>
      <c r="AC15" s="9">
        <v>4</v>
      </c>
      <c r="AD15" s="9">
        <v>5</v>
      </c>
      <c r="AE15" s="10">
        <v>14.5</v>
      </c>
      <c r="AF15" t="b">
        <v>0</v>
      </c>
      <c r="AG15" t="b">
        <v>0</v>
      </c>
      <c r="AH15" t="b">
        <v>1</v>
      </c>
      <c r="AI15" t="b">
        <v>1</v>
      </c>
      <c r="AJ15" t="b">
        <v>0</v>
      </c>
      <c r="AK15" t="b">
        <v>1</v>
      </c>
      <c r="AL15" s="12">
        <v>5.1E-5</v>
      </c>
      <c r="AM15" s="13">
        <v>1</v>
      </c>
      <c r="AN15" s="13">
        <v>2</v>
      </c>
      <c r="AO15" s="13">
        <v>2</v>
      </c>
      <c r="AP15" s="13">
        <v>2</v>
      </c>
      <c r="AQ15" s="12">
        <v>2.0000000000000001E-4</v>
      </c>
      <c r="AR15" t="b">
        <v>0</v>
      </c>
      <c r="AS15" t="b">
        <v>1</v>
      </c>
      <c r="AT15" t="b">
        <v>1</v>
      </c>
      <c r="AU15" t="b">
        <v>1</v>
      </c>
      <c r="AV15" t="b">
        <v>0</v>
      </c>
      <c r="AW15" t="b">
        <v>1</v>
      </c>
      <c r="AX15">
        <f>AK15*AW15</f>
        <v>1</v>
      </c>
    </row>
    <row r="16" spans="1:50" x14ac:dyDescent="0.25">
      <c r="A16">
        <v>14</v>
      </c>
      <c r="B16" t="s">
        <v>222</v>
      </c>
      <c r="C16" t="s">
        <v>223</v>
      </c>
      <c r="D16" s="48">
        <v>2.3999999999999998E-3</v>
      </c>
      <c r="E16" s="48">
        <v>1.09E-2</v>
      </c>
      <c r="F16" s="48">
        <v>2970</v>
      </c>
      <c r="G16" s="48">
        <v>6.8000000000000005E-2</v>
      </c>
      <c r="H16" s="48">
        <v>2.3E-3</v>
      </c>
      <c r="I16" s="48">
        <v>1.09E-2</v>
      </c>
      <c r="J16" s="48">
        <v>2970</v>
      </c>
      <c r="K16" s="48">
        <v>6.8000000000000005E-2</v>
      </c>
      <c r="L16" s="48">
        <v>2.8999999999999998E-3</v>
      </c>
      <c r="M16" s="48">
        <v>1.09E-2</v>
      </c>
      <c r="N16" s="48">
        <v>2970</v>
      </c>
      <c r="O16" s="2">
        <v>6.8000000000000005E-2</v>
      </c>
      <c r="P16" t="s">
        <v>224</v>
      </c>
      <c r="Q16" t="s">
        <v>225</v>
      </c>
      <c r="R16" t="s">
        <v>226</v>
      </c>
      <c r="S16" t="s">
        <v>227</v>
      </c>
      <c r="T16" t="s">
        <v>228</v>
      </c>
      <c r="U16" t="s">
        <v>229</v>
      </c>
      <c r="V16" t="s">
        <v>230</v>
      </c>
      <c r="W16" t="s">
        <v>231</v>
      </c>
      <c r="X16">
        <v>567</v>
      </c>
      <c r="Y16">
        <v>60305</v>
      </c>
      <c r="Z16" s="10">
        <v>2970</v>
      </c>
      <c r="AA16" s="9">
        <v>7</v>
      </c>
      <c r="AB16" s="9">
        <v>7</v>
      </c>
      <c r="AC16" s="9">
        <v>7</v>
      </c>
      <c r="AD16" s="9">
        <v>2</v>
      </c>
      <c r="AE16" s="10">
        <v>6.8000000000000005E-2</v>
      </c>
      <c r="AF16" t="b">
        <v>1</v>
      </c>
      <c r="AG16" t="b">
        <v>0</v>
      </c>
      <c r="AH16" t="b">
        <v>1</v>
      </c>
      <c r="AI16" t="b">
        <v>0</v>
      </c>
      <c r="AJ16" t="b">
        <v>0</v>
      </c>
      <c r="AK16" t="b">
        <v>0</v>
      </c>
      <c r="AL16" s="12">
        <v>2.3999999999999998E-3</v>
      </c>
      <c r="AM16" s="13">
        <v>3</v>
      </c>
      <c r="AN16" s="13">
        <v>3</v>
      </c>
      <c r="AO16" s="13">
        <v>3</v>
      </c>
      <c r="AP16" s="13">
        <v>4</v>
      </c>
      <c r="AQ16" s="12">
        <v>1.09E-2</v>
      </c>
      <c r="AR16" t="b">
        <v>1</v>
      </c>
      <c r="AS16" t="b">
        <v>0</v>
      </c>
      <c r="AT16" t="b">
        <v>1</v>
      </c>
      <c r="AU16" t="b">
        <v>1</v>
      </c>
      <c r="AV16" t="b">
        <v>0</v>
      </c>
      <c r="AW16" t="b">
        <v>1</v>
      </c>
      <c r="AX16">
        <f>AK16*AW16</f>
        <v>0</v>
      </c>
    </row>
    <row r="17" spans="1:50" s="19" customFormat="1" x14ac:dyDescent="0.25">
      <c r="A17" s="19">
        <v>15</v>
      </c>
      <c r="B17" s="19" t="s">
        <v>232</v>
      </c>
      <c r="C17" s="19" t="s">
        <v>233</v>
      </c>
      <c r="D17" s="49">
        <v>6.0999999999999997E-4</v>
      </c>
      <c r="E17" s="49">
        <v>8.1999999999999998E-4</v>
      </c>
      <c r="F17" s="49">
        <v>20.25</v>
      </c>
      <c r="G17" s="49">
        <v>4.7000000000000002E-3</v>
      </c>
      <c r="H17" s="49">
        <v>5.0000000000000001E-4</v>
      </c>
      <c r="I17" s="49">
        <v>8.1999999999999998E-4</v>
      </c>
      <c r="J17" s="49">
        <v>19.5</v>
      </c>
      <c r="K17" s="49">
        <v>4.7000000000000002E-3</v>
      </c>
      <c r="L17" s="49">
        <v>7.1999999999999994E-4</v>
      </c>
      <c r="M17" s="49">
        <v>8.1999999999999998E-4</v>
      </c>
      <c r="N17" s="49">
        <v>21</v>
      </c>
      <c r="O17" s="20">
        <v>4.7000000000000002E-3</v>
      </c>
      <c r="P17" s="19" t="s">
        <v>234</v>
      </c>
      <c r="Q17" s="19" t="s">
        <v>235</v>
      </c>
      <c r="R17" s="19" t="s">
        <v>236</v>
      </c>
      <c r="S17" s="19" t="s">
        <v>237</v>
      </c>
      <c r="T17" s="19" t="s">
        <v>238</v>
      </c>
      <c r="U17" s="19" t="s">
        <v>239</v>
      </c>
      <c r="V17" s="19" t="s">
        <v>240</v>
      </c>
      <c r="W17" s="19" t="s">
        <v>241</v>
      </c>
      <c r="X17" s="19">
        <v>531</v>
      </c>
      <c r="Y17" s="19">
        <v>57014</v>
      </c>
      <c r="Z17" s="21">
        <v>20.25</v>
      </c>
      <c r="AA17" s="22">
        <v>5</v>
      </c>
      <c r="AB17" s="22">
        <v>5</v>
      </c>
      <c r="AC17" s="22">
        <v>4</v>
      </c>
      <c r="AD17" s="22">
        <v>1</v>
      </c>
      <c r="AE17" s="21">
        <v>4.7000000000000002E-3</v>
      </c>
      <c r="AF17" s="19" t="b">
        <v>1</v>
      </c>
      <c r="AG17" s="19" t="b">
        <v>0</v>
      </c>
      <c r="AH17" s="19" t="b">
        <v>1</v>
      </c>
      <c r="AI17" s="19" t="b">
        <v>0</v>
      </c>
      <c r="AJ17" s="19" t="b">
        <v>0</v>
      </c>
      <c r="AK17" s="19" t="b">
        <v>0</v>
      </c>
      <c r="AL17" s="23">
        <v>6.0999999999999997E-4</v>
      </c>
      <c r="AM17" s="24">
        <v>2</v>
      </c>
      <c r="AN17" s="24">
        <v>3</v>
      </c>
      <c r="AO17" s="24">
        <v>3</v>
      </c>
      <c r="AP17" s="24">
        <v>2</v>
      </c>
      <c r="AQ17" s="23">
        <v>8.1999999999999998E-4</v>
      </c>
      <c r="AR17" s="19" t="b">
        <v>0</v>
      </c>
      <c r="AS17" s="19" t="b">
        <v>0</v>
      </c>
      <c r="AT17" s="19" t="b">
        <v>1</v>
      </c>
      <c r="AU17" s="19" t="b">
        <v>1</v>
      </c>
      <c r="AV17" s="19" t="b">
        <v>0</v>
      </c>
      <c r="AW17" s="19" t="b">
        <v>1</v>
      </c>
      <c r="AX17" s="19">
        <f>AK17*AW17</f>
        <v>0</v>
      </c>
    </row>
    <row r="18" spans="1:50" x14ac:dyDescent="0.25">
      <c r="A18">
        <v>16</v>
      </c>
      <c r="B18" t="s">
        <v>242</v>
      </c>
      <c r="C18" t="s">
        <v>243</v>
      </c>
      <c r="D18" s="48">
        <v>2.7E-6</v>
      </c>
      <c r="E18" s="48">
        <v>5.8999999999999998E-5</v>
      </c>
      <c r="F18" s="48">
        <v>38.4</v>
      </c>
      <c r="G18" s="48">
        <v>5.9999999999999995E-4</v>
      </c>
      <c r="H18" s="48">
        <v>2.7E-6</v>
      </c>
      <c r="I18" s="48">
        <v>5.8900000000000002E-5</v>
      </c>
      <c r="J18" s="48">
        <v>38.4</v>
      </c>
      <c r="K18" s="48">
        <v>5.9999999999999995E-4</v>
      </c>
      <c r="L18" s="48">
        <v>2.7E-6</v>
      </c>
      <c r="M18" s="48">
        <v>5.8999999999999998E-5</v>
      </c>
      <c r="N18" s="48">
        <v>38.4</v>
      </c>
      <c r="O18" s="2">
        <v>5.9999999999999995E-4</v>
      </c>
      <c r="P18" t="s">
        <v>244</v>
      </c>
      <c r="Q18" t="s">
        <v>245</v>
      </c>
      <c r="R18" t="s">
        <v>246</v>
      </c>
      <c r="S18" t="s">
        <v>247</v>
      </c>
      <c r="T18" t="s">
        <v>248</v>
      </c>
      <c r="U18" t="s">
        <v>249</v>
      </c>
      <c r="V18" t="s">
        <v>250</v>
      </c>
      <c r="W18" t="s">
        <v>251</v>
      </c>
      <c r="X18">
        <v>276</v>
      </c>
      <c r="Y18">
        <v>31858</v>
      </c>
      <c r="Z18" s="10">
        <v>38.4</v>
      </c>
      <c r="AA18" s="9">
        <v>5</v>
      </c>
      <c r="AB18" s="9">
        <v>4</v>
      </c>
      <c r="AC18" s="9">
        <v>4</v>
      </c>
      <c r="AD18" s="9">
        <v>1</v>
      </c>
      <c r="AE18" s="10">
        <v>5.9999999999999995E-4</v>
      </c>
      <c r="AF18" t="b">
        <v>0</v>
      </c>
      <c r="AG18" t="b">
        <v>0</v>
      </c>
      <c r="AH18" t="b">
        <v>1</v>
      </c>
      <c r="AI18" t="b">
        <v>0</v>
      </c>
      <c r="AJ18" t="b">
        <v>0</v>
      </c>
      <c r="AK18" t="b">
        <v>0</v>
      </c>
      <c r="AL18" s="12">
        <v>2.7E-6</v>
      </c>
      <c r="AM18" s="13">
        <v>0</v>
      </c>
      <c r="AN18" s="13">
        <v>1</v>
      </c>
      <c r="AO18" s="13">
        <v>1</v>
      </c>
      <c r="AP18" s="13">
        <v>1</v>
      </c>
      <c r="AQ18" s="12">
        <v>5.8999999999999998E-5</v>
      </c>
      <c r="AR18" t="b">
        <v>0</v>
      </c>
      <c r="AS18" t="b">
        <v>1</v>
      </c>
      <c r="AT18" t="b">
        <v>1</v>
      </c>
      <c r="AU18" t="b">
        <v>1</v>
      </c>
      <c r="AV18" t="b">
        <v>0</v>
      </c>
      <c r="AW18" t="b">
        <v>1</v>
      </c>
      <c r="AX18">
        <f>AK18*AW18</f>
        <v>0</v>
      </c>
    </row>
    <row r="19" spans="1:50" x14ac:dyDescent="0.25">
      <c r="A19">
        <v>17</v>
      </c>
      <c r="B19" t="s">
        <v>252</v>
      </c>
      <c r="C19" t="s">
        <v>253</v>
      </c>
      <c r="D19" s="48">
        <v>7.7000000000000007E-4</v>
      </c>
      <c r="E19" s="48">
        <v>5.8999999999999997E-2</v>
      </c>
      <c r="F19" s="48">
        <v>775</v>
      </c>
      <c r="G19" s="48">
        <v>13</v>
      </c>
      <c r="H19" s="48">
        <v>7.7000000000000007E-4</v>
      </c>
      <c r="I19" s="48">
        <v>5.8999999999999997E-2</v>
      </c>
      <c r="J19" s="48">
        <v>775</v>
      </c>
      <c r="K19" s="48">
        <v>13</v>
      </c>
      <c r="L19" s="48">
        <v>7.7000000000000007E-4</v>
      </c>
      <c r="M19" s="48">
        <v>5.8999999999999997E-2</v>
      </c>
      <c r="N19" s="48">
        <v>775</v>
      </c>
      <c r="O19" s="2">
        <v>13</v>
      </c>
      <c r="P19" t="s">
        <v>254</v>
      </c>
      <c r="Q19" t="s">
        <v>255</v>
      </c>
      <c r="R19" t="s">
        <v>256</v>
      </c>
      <c r="S19" t="s">
        <v>257</v>
      </c>
      <c r="T19" t="s">
        <v>258</v>
      </c>
      <c r="U19" t="s">
        <v>259</v>
      </c>
      <c r="V19" t="s">
        <v>260</v>
      </c>
      <c r="W19" t="s">
        <v>261</v>
      </c>
      <c r="X19">
        <v>399</v>
      </c>
      <c r="Y19">
        <v>43320</v>
      </c>
      <c r="Z19" s="10">
        <v>775</v>
      </c>
      <c r="AA19" s="9">
        <v>6</v>
      </c>
      <c r="AB19" s="9">
        <v>6</v>
      </c>
      <c r="AC19" s="9">
        <v>4</v>
      </c>
      <c r="AD19" s="9">
        <v>5</v>
      </c>
      <c r="AE19" s="10">
        <v>13</v>
      </c>
      <c r="AF19" t="b">
        <v>1</v>
      </c>
      <c r="AG19" t="b">
        <v>0</v>
      </c>
      <c r="AH19" t="b">
        <v>1</v>
      </c>
      <c r="AI19" t="b">
        <v>1</v>
      </c>
      <c r="AJ19" t="b">
        <v>0</v>
      </c>
      <c r="AK19" t="b">
        <v>1</v>
      </c>
      <c r="AL19" s="12">
        <v>7.7000000000000007E-4</v>
      </c>
      <c r="AM19" s="13">
        <v>2</v>
      </c>
      <c r="AN19" s="13">
        <v>2</v>
      </c>
      <c r="AO19" s="13">
        <v>2</v>
      </c>
      <c r="AP19" s="13">
        <v>4</v>
      </c>
      <c r="AQ19" s="12">
        <v>5.8999999999999997E-2</v>
      </c>
      <c r="AR19" t="b">
        <v>1</v>
      </c>
      <c r="AS19" t="b">
        <v>0</v>
      </c>
      <c r="AT19" t="b">
        <v>1</v>
      </c>
      <c r="AU19" t="b">
        <v>0</v>
      </c>
      <c r="AV19" t="b">
        <v>0</v>
      </c>
      <c r="AW19" t="b">
        <v>0</v>
      </c>
      <c r="AX19">
        <f>AK19*AW19</f>
        <v>0</v>
      </c>
    </row>
    <row r="20" spans="1:50" x14ac:dyDescent="0.25">
      <c r="A20">
        <v>18</v>
      </c>
      <c r="B20" t="s">
        <v>252</v>
      </c>
      <c r="C20" t="s">
        <v>262</v>
      </c>
      <c r="D20" s="48">
        <v>5.0000000000000001E-4</v>
      </c>
      <c r="E20" s="48">
        <v>3.5000000000000001E-3</v>
      </c>
      <c r="F20" s="48">
        <v>640</v>
      </c>
      <c r="G20" s="48">
        <v>5.0999999999999996</v>
      </c>
      <c r="H20" s="48">
        <v>5.0000000000000001E-4</v>
      </c>
      <c r="I20" s="48">
        <v>3.5000000000000001E-3</v>
      </c>
      <c r="J20" s="48">
        <v>640</v>
      </c>
      <c r="K20" s="48">
        <v>5.0999999999999996</v>
      </c>
      <c r="L20" s="48">
        <v>5.0000000000000001E-4</v>
      </c>
      <c r="M20" s="48">
        <v>3.5000000000000001E-3</v>
      </c>
      <c r="N20" s="48">
        <v>640</v>
      </c>
      <c r="O20" s="2">
        <v>5.0999999999999996</v>
      </c>
      <c r="P20" t="s">
        <v>254</v>
      </c>
      <c r="Q20" t="s">
        <v>255</v>
      </c>
      <c r="R20" t="s">
        <v>256</v>
      </c>
      <c r="S20" t="s">
        <v>257</v>
      </c>
      <c r="T20" t="s">
        <v>258</v>
      </c>
      <c r="U20" t="s">
        <v>259</v>
      </c>
      <c r="V20" t="s">
        <v>263</v>
      </c>
      <c r="W20" t="s">
        <v>261</v>
      </c>
      <c r="X20">
        <v>399</v>
      </c>
      <c r="Y20">
        <v>43320</v>
      </c>
      <c r="Z20" s="10">
        <v>640</v>
      </c>
      <c r="AA20" s="9">
        <v>6</v>
      </c>
      <c r="AB20" s="9">
        <v>4</v>
      </c>
      <c r="AC20" s="9">
        <v>4</v>
      </c>
      <c r="AD20" s="9">
        <v>4</v>
      </c>
      <c r="AE20" s="10">
        <v>5.0999999999999996</v>
      </c>
      <c r="AF20" t="b">
        <v>0</v>
      </c>
      <c r="AG20" t="b">
        <v>1</v>
      </c>
      <c r="AH20" t="b">
        <v>0</v>
      </c>
      <c r="AI20" t="b">
        <v>1</v>
      </c>
      <c r="AJ20" t="b">
        <v>0</v>
      </c>
      <c r="AK20" t="b">
        <v>0</v>
      </c>
      <c r="AL20" s="12">
        <v>5.0000000000000001E-4</v>
      </c>
      <c r="AM20" s="13">
        <v>2</v>
      </c>
      <c r="AN20" s="13">
        <v>2</v>
      </c>
      <c r="AO20" s="13">
        <v>2</v>
      </c>
      <c r="AP20" s="13">
        <v>3</v>
      </c>
      <c r="AQ20" s="12">
        <v>3.5000000000000001E-3</v>
      </c>
      <c r="AR20" t="b">
        <v>1</v>
      </c>
      <c r="AS20" t="b">
        <v>0</v>
      </c>
      <c r="AT20" t="b">
        <v>1</v>
      </c>
      <c r="AU20" t="b">
        <v>1</v>
      </c>
      <c r="AV20" t="b">
        <v>0</v>
      </c>
      <c r="AW20" t="b">
        <v>1</v>
      </c>
      <c r="AX20">
        <f>AK20*AW20</f>
        <v>0</v>
      </c>
    </row>
    <row r="21" spans="1:50" x14ac:dyDescent="0.25">
      <c r="A21">
        <v>19</v>
      </c>
      <c r="B21" t="s">
        <v>252</v>
      </c>
      <c r="C21" t="s">
        <v>264</v>
      </c>
      <c r="D21" s="48">
        <v>1.98E-5</v>
      </c>
      <c r="E21" s="48">
        <v>6.4900000000000005E-5</v>
      </c>
      <c r="F21" s="48">
        <v>652</v>
      </c>
      <c r="G21" s="48">
        <v>7.3</v>
      </c>
      <c r="H21" s="48">
        <v>1.98E-5</v>
      </c>
      <c r="I21" s="48">
        <v>6.4900000000000005E-5</v>
      </c>
      <c r="J21" s="48">
        <v>652</v>
      </c>
      <c r="K21" s="48">
        <v>7.3</v>
      </c>
      <c r="L21" s="48">
        <v>1.98E-5</v>
      </c>
      <c r="M21" s="48">
        <v>6.4900000000000005E-5</v>
      </c>
      <c r="N21" s="48">
        <v>652</v>
      </c>
      <c r="O21" s="2">
        <v>7.3</v>
      </c>
      <c r="P21" t="s">
        <v>254</v>
      </c>
      <c r="Q21" t="s">
        <v>255</v>
      </c>
      <c r="R21" t="s">
        <v>256</v>
      </c>
      <c r="S21" t="s">
        <v>257</v>
      </c>
      <c r="T21" t="s">
        <v>258</v>
      </c>
      <c r="U21" t="s">
        <v>259</v>
      </c>
      <c r="V21" t="s">
        <v>265</v>
      </c>
      <c r="W21" t="s">
        <v>261</v>
      </c>
      <c r="X21">
        <v>399</v>
      </c>
      <c r="Y21">
        <v>43320</v>
      </c>
      <c r="Z21" s="10">
        <v>652</v>
      </c>
      <c r="AA21" s="9">
        <v>6</v>
      </c>
      <c r="AB21" s="9">
        <v>4</v>
      </c>
      <c r="AC21" s="9">
        <v>4</v>
      </c>
      <c r="AD21" s="9">
        <v>4</v>
      </c>
      <c r="AE21" s="10">
        <v>7.3</v>
      </c>
      <c r="AF21" t="b">
        <v>0</v>
      </c>
      <c r="AG21" t="b">
        <v>1</v>
      </c>
      <c r="AH21" t="b">
        <v>0</v>
      </c>
      <c r="AI21" t="b">
        <v>1</v>
      </c>
      <c r="AJ21" t="b">
        <v>0</v>
      </c>
      <c r="AK21" t="b">
        <v>0</v>
      </c>
      <c r="AL21" s="12">
        <v>1.98E-5</v>
      </c>
      <c r="AM21" s="13">
        <v>1</v>
      </c>
      <c r="AN21" s="13">
        <v>1</v>
      </c>
      <c r="AO21" s="13">
        <v>1</v>
      </c>
      <c r="AP21" s="13">
        <v>1</v>
      </c>
      <c r="AQ21" s="12">
        <v>6.4900000000000005E-5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>
        <f>AK21*AW21</f>
        <v>0</v>
      </c>
    </row>
    <row r="22" spans="1:50" x14ac:dyDescent="0.25">
      <c r="A22">
        <v>20</v>
      </c>
      <c r="B22" t="s">
        <v>266</v>
      </c>
      <c r="C22" t="s">
        <v>267</v>
      </c>
      <c r="D22" s="48">
        <v>1.065E-5</v>
      </c>
      <c r="E22" s="48">
        <v>1.8499999999999999E-5</v>
      </c>
      <c r="F22" s="48">
        <v>5.9333335000000001E-2</v>
      </c>
      <c r="G22" s="48">
        <v>6.9166669999999996E-3</v>
      </c>
      <c r="H22" s="48">
        <v>2.2000000000000001E-6</v>
      </c>
      <c r="I22" s="48">
        <v>1.8499999999999999E-5</v>
      </c>
      <c r="J22" s="48">
        <v>5.0500000000000003E-2</v>
      </c>
      <c r="K22" s="48">
        <v>6.9166669999999996E-3</v>
      </c>
      <c r="L22" s="48">
        <v>1.91E-5</v>
      </c>
      <c r="M22" s="48">
        <v>1.8499999999999999E-5</v>
      </c>
      <c r="N22" s="48">
        <v>6.8166669999999999E-2</v>
      </c>
      <c r="O22" s="2">
        <v>6.9166669999999996E-3</v>
      </c>
      <c r="P22" t="s">
        <v>268</v>
      </c>
      <c r="Q22" t="s">
        <v>269</v>
      </c>
      <c r="R22" t="s">
        <v>270</v>
      </c>
      <c r="S22" t="s">
        <v>271</v>
      </c>
      <c r="T22" t="s">
        <v>272</v>
      </c>
      <c r="U22" t="s">
        <v>273</v>
      </c>
      <c r="V22" t="s">
        <v>274</v>
      </c>
      <c r="W22" t="s">
        <v>275</v>
      </c>
      <c r="X22">
        <v>389</v>
      </c>
      <c r="Y22">
        <v>42706</v>
      </c>
      <c r="Z22" s="10">
        <v>5.9333335000000001E-2</v>
      </c>
      <c r="AA22" s="9">
        <v>2</v>
      </c>
      <c r="AB22" s="9">
        <v>2</v>
      </c>
      <c r="AC22" s="9">
        <v>2</v>
      </c>
      <c r="AD22" s="9">
        <v>1</v>
      </c>
      <c r="AE22" s="10">
        <v>6.9166669999999996E-3</v>
      </c>
      <c r="AF22" t="b">
        <v>1</v>
      </c>
      <c r="AG22" t="b">
        <v>0</v>
      </c>
      <c r="AH22" t="b">
        <v>1</v>
      </c>
      <c r="AI22" t="b">
        <v>1</v>
      </c>
      <c r="AJ22" t="b">
        <v>0</v>
      </c>
      <c r="AK22" t="b">
        <v>1</v>
      </c>
      <c r="AL22" s="12">
        <v>1.065E-5</v>
      </c>
      <c r="AM22" s="13">
        <v>1</v>
      </c>
      <c r="AN22" s="13">
        <v>1</v>
      </c>
      <c r="AO22" s="13">
        <v>1</v>
      </c>
      <c r="AP22" s="13">
        <v>1</v>
      </c>
      <c r="AQ22" s="12">
        <v>1.8499999999999999E-5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>
        <f>AK22*AW22</f>
        <v>1</v>
      </c>
    </row>
    <row r="23" spans="1:50" x14ac:dyDescent="0.25">
      <c r="A23">
        <v>21</v>
      </c>
      <c r="B23" t="s">
        <v>276</v>
      </c>
      <c r="C23" t="s">
        <v>277</v>
      </c>
      <c r="D23" s="48">
        <v>8.3000000000000012E-5</v>
      </c>
      <c r="E23" s="48">
        <v>8.8999999999999996E-2</v>
      </c>
      <c r="F23" s="48">
        <v>18.8</v>
      </c>
      <c r="G23" s="48">
        <v>1.2999999999999999E-4</v>
      </c>
      <c r="H23" s="48">
        <v>8.3000000000000012E-5</v>
      </c>
      <c r="I23" s="48">
        <v>8.8999999999999996E-2</v>
      </c>
      <c r="J23" s="48">
        <v>18.8</v>
      </c>
      <c r="K23" s="48">
        <v>1.2999999999999999E-4</v>
      </c>
      <c r="L23" s="48">
        <v>8.3000000000000012E-5</v>
      </c>
      <c r="M23" s="48">
        <v>8.8999999999999996E-2</v>
      </c>
      <c r="N23" s="48">
        <v>18.8</v>
      </c>
      <c r="O23" s="2">
        <v>1.2999999999999999E-4</v>
      </c>
      <c r="P23" t="s">
        <v>278</v>
      </c>
      <c r="Q23" t="s">
        <v>279</v>
      </c>
      <c r="R23" t="s">
        <v>280</v>
      </c>
      <c r="S23" t="s">
        <v>281</v>
      </c>
      <c r="T23" t="s">
        <v>282</v>
      </c>
      <c r="U23" t="s">
        <v>283</v>
      </c>
      <c r="V23" t="s">
        <v>284</v>
      </c>
      <c r="W23" t="s">
        <v>285</v>
      </c>
      <c r="X23">
        <v>158</v>
      </c>
      <c r="Y23">
        <v>17507</v>
      </c>
      <c r="Z23" s="10">
        <v>18.8</v>
      </c>
      <c r="AA23" s="9">
        <v>5</v>
      </c>
      <c r="AB23" s="9">
        <v>5</v>
      </c>
      <c r="AC23" s="9">
        <v>5</v>
      </c>
      <c r="AD23" s="9">
        <v>1</v>
      </c>
      <c r="AE23" s="10">
        <v>1.2999999999999999E-4</v>
      </c>
      <c r="AF23" t="b">
        <v>1</v>
      </c>
      <c r="AG23" t="b">
        <v>0</v>
      </c>
      <c r="AH23" t="b">
        <v>1</v>
      </c>
      <c r="AI23" t="b">
        <v>0</v>
      </c>
      <c r="AJ23" t="b">
        <v>0</v>
      </c>
      <c r="AK23" t="b">
        <v>0</v>
      </c>
      <c r="AL23" s="12">
        <v>8.3000000000000012E-5</v>
      </c>
      <c r="AM23" s="13">
        <v>1</v>
      </c>
      <c r="AN23" s="13">
        <v>2</v>
      </c>
      <c r="AO23" s="13">
        <v>2</v>
      </c>
      <c r="AP23" s="13">
        <v>4</v>
      </c>
      <c r="AQ23" s="12">
        <v>8.8999999999999996E-2</v>
      </c>
      <c r="AR23" t="b">
        <v>0</v>
      </c>
      <c r="AS23" t="b">
        <v>0</v>
      </c>
      <c r="AT23" t="b">
        <v>1</v>
      </c>
      <c r="AU23" t="b">
        <v>0</v>
      </c>
      <c r="AV23" t="b">
        <v>0</v>
      </c>
      <c r="AW23" t="b">
        <v>0</v>
      </c>
      <c r="AX23">
        <f>AK23*AW23</f>
        <v>0</v>
      </c>
    </row>
  </sheetData>
  <autoFilter ref="A1:AX23" xr:uid="{823CA4DB-66C4-496B-A805-602596B5C4A9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E504-0E22-4252-BC7B-153593F62571}">
  <dimension ref="A1:AU11"/>
  <sheetViews>
    <sheetView workbookViewId="0">
      <pane ySplit="1" topLeftCell="A2" activePane="bottomLeft" state="frozen"/>
      <selection pane="bottomLeft" activeCell="AF10" sqref="AF10"/>
    </sheetView>
  </sheetViews>
  <sheetFormatPr defaultRowHeight="15" x14ac:dyDescent="0.25"/>
  <cols>
    <col min="6" max="6" width="24.140625" customWidth="1"/>
    <col min="12" max="12" width="15.85546875" bestFit="1" customWidth="1"/>
    <col min="13" max="16" width="15.85546875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293</v>
      </c>
      <c r="I1" s="3" t="s">
        <v>294</v>
      </c>
      <c r="J1" s="3" t="s">
        <v>297</v>
      </c>
      <c r="K1" s="3" t="s">
        <v>302</v>
      </c>
      <c r="L1" s="1" t="s">
        <v>7</v>
      </c>
      <c r="M1" s="11" t="s">
        <v>295</v>
      </c>
      <c r="N1" s="11" t="s">
        <v>296</v>
      </c>
      <c r="O1" s="11" t="s">
        <v>299</v>
      </c>
      <c r="P1" s="11" t="s">
        <v>301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</row>
    <row r="2" spans="1:47" x14ac:dyDescent="0.25">
      <c r="A2" s="4">
        <v>542</v>
      </c>
      <c r="B2" s="4">
        <v>542</v>
      </c>
      <c r="C2" s="4" t="s">
        <v>39</v>
      </c>
      <c r="D2" s="4" t="s">
        <v>40</v>
      </c>
      <c r="E2" s="4" t="s">
        <v>41</v>
      </c>
      <c r="F2" s="4" t="s">
        <v>42</v>
      </c>
      <c r="G2" s="5">
        <v>3.3333330000000001E-2</v>
      </c>
      <c r="H2" s="6">
        <v>2</v>
      </c>
      <c r="I2" s="6">
        <v>2</v>
      </c>
      <c r="J2" s="6">
        <v>0</v>
      </c>
      <c r="K2" s="8">
        <v>1</v>
      </c>
      <c r="L2" s="4">
        <v>0</v>
      </c>
      <c r="M2" s="14">
        <v>0</v>
      </c>
      <c r="N2" s="14">
        <v>0</v>
      </c>
      <c r="O2" s="14">
        <v>0</v>
      </c>
      <c r="P2" s="13">
        <v>0</v>
      </c>
      <c r="Q2" s="5">
        <v>1.5999999999999999E-6</v>
      </c>
      <c r="R2" s="4">
        <v>3.3333330000000001E-2</v>
      </c>
      <c r="S2" s="4">
        <v>1.5999999999999999E-6</v>
      </c>
      <c r="T2" s="4">
        <v>-1.4771212981491131</v>
      </c>
      <c r="U2" s="4" t="s">
        <v>43</v>
      </c>
      <c r="V2" s="4" t="s">
        <v>44</v>
      </c>
      <c r="W2" s="4" t="s">
        <v>45</v>
      </c>
      <c r="X2" s="4" t="s">
        <v>45</v>
      </c>
      <c r="Y2" s="4" t="s">
        <v>46</v>
      </c>
      <c r="Z2" s="4" t="s">
        <v>47</v>
      </c>
      <c r="AA2" s="4" t="s">
        <v>48</v>
      </c>
      <c r="AB2" s="4" t="s">
        <v>49</v>
      </c>
      <c r="AC2" s="4">
        <v>323</v>
      </c>
      <c r="AD2" s="4">
        <v>37067</v>
      </c>
      <c r="AE2" s="4" t="s">
        <v>50</v>
      </c>
      <c r="AF2" s="4">
        <v>2</v>
      </c>
      <c r="AG2" s="4">
        <v>0</v>
      </c>
      <c r="AH2" s="4">
        <v>-2</v>
      </c>
      <c r="AI2" s="4">
        <v>318.50100000000009</v>
      </c>
      <c r="AJ2" s="4">
        <v>4.5952000000000046</v>
      </c>
      <c r="AK2" s="4">
        <v>4</v>
      </c>
      <c r="AL2" s="4">
        <v>1</v>
      </c>
      <c r="AM2" s="4">
        <v>2</v>
      </c>
      <c r="AN2" s="4">
        <v>1.238390092879257E-2</v>
      </c>
      <c r="AO2" s="4">
        <v>8.5925756063344773E-3</v>
      </c>
      <c r="AP2" s="4">
        <v>1</v>
      </c>
      <c r="AQ2" s="4">
        <v>1</v>
      </c>
      <c r="AR2" s="4" t="s">
        <v>51</v>
      </c>
      <c r="AS2" s="4">
        <v>1</v>
      </c>
      <c r="AT2" s="4">
        <v>0</v>
      </c>
      <c r="AU2" s="4">
        <v>542</v>
      </c>
    </row>
    <row r="3" spans="1:47" x14ac:dyDescent="0.25">
      <c r="A3" s="4">
        <v>3403</v>
      </c>
      <c r="B3" s="4">
        <v>3403</v>
      </c>
      <c r="C3" s="4" t="s">
        <v>52</v>
      </c>
      <c r="D3" s="4" t="s">
        <v>53</v>
      </c>
      <c r="E3" s="4" t="s">
        <v>54</v>
      </c>
      <c r="F3" s="4" t="s">
        <v>55</v>
      </c>
      <c r="G3" s="5">
        <v>0.26500000000000001</v>
      </c>
      <c r="H3" s="6">
        <v>3</v>
      </c>
      <c r="I3" s="6">
        <v>3</v>
      </c>
      <c r="J3" s="6">
        <v>3</v>
      </c>
      <c r="K3" s="8">
        <v>0</v>
      </c>
      <c r="L3" s="4">
        <v>0</v>
      </c>
      <c r="M3" s="14">
        <v>1</v>
      </c>
      <c r="N3" s="14">
        <v>1</v>
      </c>
      <c r="O3" s="17">
        <v>1</v>
      </c>
      <c r="P3" s="18">
        <v>1</v>
      </c>
      <c r="Q3" s="5">
        <v>1.7399999999999989E-5</v>
      </c>
      <c r="R3" s="4">
        <v>0.26500000000000001</v>
      </c>
      <c r="S3" s="4">
        <v>1.7399999999999999E-5</v>
      </c>
      <c r="T3" s="4">
        <v>-0.5767541260631921</v>
      </c>
      <c r="U3" s="4" t="s">
        <v>43</v>
      </c>
      <c r="V3" s="4" t="s">
        <v>44</v>
      </c>
      <c r="W3" s="4" t="s">
        <v>56</v>
      </c>
      <c r="X3" s="4" t="s">
        <v>56</v>
      </c>
      <c r="Y3" s="4" t="s">
        <v>46</v>
      </c>
      <c r="Z3" s="4" t="s">
        <v>47</v>
      </c>
      <c r="AA3" s="4" t="s">
        <v>57</v>
      </c>
      <c r="AB3" s="4" t="s">
        <v>58</v>
      </c>
      <c r="AC3" s="4">
        <v>348</v>
      </c>
      <c r="AD3" s="4">
        <v>37874</v>
      </c>
      <c r="AE3" s="4" t="s">
        <v>59</v>
      </c>
      <c r="AF3" s="4">
        <v>3</v>
      </c>
      <c r="AG3" s="4">
        <v>1</v>
      </c>
      <c r="AH3" s="4">
        <v>0</v>
      </c>
      <c r="AI3" s="4">
        <v>363.22300000000001</v>
      </c>
      <c r="AJ3" s="4">
        <v>-2.327030000000001</v>
      </c>
      <c r="AK3" s="4">
        <v>3</v>
      </c>
      <c r="AL3" s="4">
        <v>7</v>
      </c>
      <c r="AM3" s="4">
        <v>10</v>
      </c>
      <c r="AN3" s="4">
        <v>2.8735632183908049E-2</v>
      </c>
      <c r="AO3" s="4">
        <v>9.5902994138459107E-3</v>
      </c>
      <c r="AP3" s="4">
        <v>2</v>
      </c>
      <c r="AQ3" s="4">
        <v>0</v>
      </c>
      <c r="AR3" s="4" t="s">
        <v>51</v>
      </c>
      <c r="AS3" s="4">
        <v>0</v>
      </c>
      <c r="AT3" s="4">
        <v>1</v>
      </c>
      <c r="AU3" s="4">
        <v>3403</v>
      </c>
    </row>
    <row r="4" spans="1:47" x14ac:dyDescent="0.25">
      <c r="A4" s="4">
        <v>794</v>
      </c>
      <c r="B4" s="4">
        <v>794</v>
      </c>
      <c r="C4" s="4" t="s">
        <v>60</v>
      </c>
      <c r="D4" s="4" t="s">
        <v>61</v>
      </c>
      <c r="E4" s="4" t="s">
        <v>62</v>
      </c>
      <c r="F4" s="4" t="s">
        <v>63</v>
      </c>
      <c r="G4" s="5">
        <v>5.4772255750516599E-2</v>
      </c>
      <c r="H4" s="6">
        <v>2</v>
      </c>
      <c r="I4" s="6">
        <v>5</v>
      </c>
      <c r="J4" s="6">
        <v>1</v>
      </c>
      <c r="K4" s="8">
        <v>1</v>
      </c>
      <c r="L4" s="4">
        <v>0</v>
      </c>
      <c r="M4" s="14">
        <v>2</v>
      </c>
      <c r="N4" s="14">
        <v>2</v>
      </c>
      <c r="O4" s="14">
        <v>5</v>
      </c>
      <c r="P4" s="13">
        <v>1</v>
      </c>
      <c r="Q4" s="5">
        <v>4.5000000000000031E-4</v>
      </c>
      <c r="R4" s="4">
        <v>5.5E-2</v>
      </c>
      <c r="S4" s="4">
        <v>4.4999999999999999E-4</v>
      </c>
      <c r="T4" s="4">
        <v>-1.301029995663981</v>
      </c>
      <c r="U4" s="4" t="s">
        <v>43</v>
      </c>
      <c r="V4" s="4" t="s">
        <v>44</v>
      </c>
      <c r="W4" s="4" t="s">
        <v>64</v>
      </c>
      <c r="X4" s="4" t="s">
        <v>64</v>
      </c>
      <c r="Y4" s="4" t="s">
        <v>46</v>
      </c>
      <c r="Z4" s="4" t="s">
        <v>47</v>
      </c>
      <c r="AA4" s="4" t="s">
        <v>65</v>
      </c>
      <c r="AB4" s="4" t="s">
        <v>66</v>
      </c>
      <c r="AC4" s="4">
        <v>526</v>
      </c>
      <c r="AD4" s="4">
        <v>56145</v>
      </c>
      <c r="AE4" s="4" t="s">
        <v>67</v>
      </c>
      <c r="AF4" s="4">
        <v>2</v>
      </c>
      <c r="AG4" s="4">
        <v>2</v>
      </c>
      <c r="AH4" s="4">
        <v>-1</v>
      </c>
      <c r="AI4" s="4">
        <v>102.089</v>
      </c>
      <c r="AJ4" s="4">
        <v>5.0099999999999978E-2</v>
      </c>
      <c r="AK4" s="4">
        <v>0</v>
      </c>
      <c r="AL4" s="4">
        <v>1</v>
      </c>
      <c r="AM4" s="4">
        <v>2</v>
      </c>
      <c r="AN4" s="4">
        <v>1.901140684410646E-2</v>
      </c>
      <c r="AO4" s="4">
        <v>1.818309733725176E-3</v>
      </c>
      <c r="AP4" s="4">
        <v>2</v>
      </c>
      <c r="AQ4" s="4">
        <v>1</v>
      </c>
      <c r="AR4" s="4" t="s">
        <v>51</v>
      </c>
      <c r="AS4" s="4">
        <v>1</v>
      </c>
      <c r="AT4" s="4">
        <v>1</v>
      </c>
      <c r="AU4" s="4">
        <v>794</v>
      </c>
    </row>
    <row r="5" spans="1:47" x14ac:dyDescent="0.25">
      <c r="A5" s="4">
        <v>3136</v>
      </c>
      <c r="B5" s="4">
        <v>3136</v>
      </c>
      <c r="C5" s="4" t="s">
        <v>68</v>
      </c>
      <c r="D5" s="4" t="s">
        <v>69</v>
      </c>
      <c r="E5" s="4" t="s">
        <v>70</v>
      </c>
      <c r="F5" s="4" t="s">
        <v>71</v>
      </c>
      <c r="G5" s="5">
        <v>8.4899999999999984</v>
      </c>
      <c r="H5" s="6">
        <v>4</v>
      </c>
      <c r="I5" s="6">
        <v>4</v>
      </c>
      <c r="J5" s="6">
        <v>1</v>
      </c>
      <c r="K5" s="8">
        <v>1</v>
      </c>
      <c r="L5" s="4">
        <v>0</v>
      </c>
      <c r="M5" s="14">
        <v>1</v>
      </c>
      <c r="N5" s="14">
        <v>1</v>
      </c>
      <c r="O5" s="14">
        <v>1</v>
      </c>
      <c r="P5" s="13">
        <v>0</v>
      </c>
      <c r="Q5" s="5">
        <v>6.5000000000000062E-5</v>
      </c>
      <c r="R5" s="4">
        <v>8.49</v>
      </c>
      <c r="S5" s="4">
        <v>6.5000000000000008E-5</v>
      </c>
      <c r="T5" s="4">
        <v>0.9289076902439527</v>
      </c>
      <c r="U5" s="4" t="s">
        <v>43</v>
      </c>
      <c r="V5" s="4" t="s">
        <v>44</v>
      </c>
      <c r="W5" s="4" t="s">
        <v>72</v>
      </c>
      <c r="X5" s="4" t="s">
        <v>72</v>
      </c>
      <c r="Y5" s="4" t="s">
        <v>46</v>
      </c>
      <c r="Z5" s="4" t="s">
        <v>47</v>
      </c>
      <c r="AA5" s="4" t="s">
        <v>73</v>
      </c>
      <c r="AB5" s="4" t="s">
        <v>74</v>
      </c>
      <c r="AC5" s="4">
        <v>345</v>
      </c>
      <c r="AD5" s="4">
        <v>36230</v>
      </c>
      <c r="AE5" s="4" t="s">
        <v>75</v>
      </c>
      <c r="AF5" s="4">
        <v>4</v>
      </c>
      <c r="AG5" s="4">
        <v>1</v>
      </c>
      <c r="AH5" s="4">
        <v>-2</v>
      </c>
      <c r="AI5" s="4">
        <v>743.40900000000056</v>
      </c>
      <c r="AJ5" s="4">
        <v>-2.746429999999997</v>
      </c>
      <c r="AK5" s="4">
        <v>5</v>
      </c>
      <c r="AL5" s="4">
        <v>9</v>
      </c>
      <c r="AM5" s="4">
        <v>19</v>
      </c>
      <c r="AN5" s="4">
        <v>2.8985507246376808E-2</v>
      </c>
      <c r="AO5" s="4">
        <v>2.051915539608061E-2</v>
      </c>
      <c r="AP5" s="4">
        <v>2</v>
      </c>
      <c r="AQ5" s="4">
        <v>1</v>
      </c>
      <c r="AR5" s="4" t="s">
        <v>51</v>
      </c>
      <c r="AS5" s="4">
        <v>1</v>
      </c>
      <c r="AT5" s="4">
        <v>0</v>
      </c>
      <c r="AU5" s="4">
        <v>3136</v>
      </c>
    </row>
    <row r="6" spans="1:47" x14ac:dyDescent="0.25">
      <c r="A6" s="4">
        <v>1361</v>
      </c>
      <c r="B6" s="4">
        <v>1361</v>
      </c>
      <c r="C6" s="4" t="s">
        <v>76</v>
      </c>
      <c r="D6" s="4" t="s">
        <v>77</v>
      </c>
      <c r="E6" s="4" t="s">
        <v>78</v>
      </c>
      <c r="F6" s="4" t="s">
        <v>79</v>
      </c>
      <c r="G6" s="5">
        <v>87</v>
      </c>
      <c r="H6" s="6">
        <v>5</v>
      </c>
      <c r="I6" s="6">
        <v>5</v>
      </c>
      <c r="J6" s="15">
        <v>5</v>
      </c>
      <c r="K6" s="16">
        <v>1</v>
      </c>
      <c r="L6" s="4">
        <v>0</v>
      </c>
      <c r="M6" s="14">
        <v>1</v>
      </c>
      <c r="N6" s="14">
        <v>1</v>
      </c>
      <c r="O6" s="17">
        <v>1</v>
      </c>
      <c r="P6" s="18">
        <v>1</v>
      </c>
      <c r="Q6" s="5">
        <v>6.7823299831252773E-6</v>
      </c>
      <c r="R6" s="4">
        <v>87</v>
      </c>
      <c r="S6" s="4">
        <v>1.2500000000000001E-5</v>
      </c>
      <c r="T6" s="4">
        <v>1.939519252618618</v>
      </c>
      <c r="U6" s="4" t="s">
        <v>43</v>
      </c>
      <c r="V6" s="4" t="s">
        <v>44</v>
      </c>
      <c r="W6" s="4" t="s">
        <v>80</v>
      </c>
      <c r="X6" s="4" t="s">
        <v>80</v>
      </c>
      <c r="Y6" s="4" t="s">
        <v>46</v>
      </c>
      <c r="Z6" s="4" t="s">
        <v>47</v>
      </c>
      <c r="AA6" s="4" t="s">
        <v>81</v>
      </c>
      <c r="AB6" s="4" t="s">
        <v>82</v>
      </c>
      <c r="AC6" s="4">
        <v>885</v>
      </c>
      <c r="AD6" s="4">
        <v>97899</v>
      </c>
      <c r="AE6" s="4" t="s">
        <v>83</v>
      </c>
      <c r="AF6" s="4">
        <v>5</v>
      </c>
      <c r="AG6" s="4">
        <v>1</v>
      </c>
      <c r="AH6" s="4">
        <v>-2</v>
      </c>
      <c r="AI6" s="4">
        <v>173.941</v>
      </c>
      <c r="AJ6" s="4">
        <v>-3.3395999999999999</v>
      </c>
      <c r="AK6" s="4">
        <v>0</v>
      </c>
      <c r="AL6" s="4">
        <v>0</v>
      </c>
      <c r="AM6" s="4">
        <v>7</v>
      </c>
      <c r="AN6" s="4">
        <v>1.1299435028248589E-2</v>
      </c>
      <c r="AO6" s="4">
        <v>1.776739292536185E-3</v>
      </c>
      <c r="AP6" s="4">
        <v>2</v>
      </c>
      <c r="AQ6" s="4">
        <v>1</v>
      </c>
      <c r="AR6" s="4" t="s">
        <v>51</v>
      </c>
      <c r="AS6" s="4">
        <v>1</v>
      </c>
      <c r="AT6" s="4">
        <v>1</v>
      </c>
      <c r="AU6" s="4">
        <v>1361</v>
      </c>
    </row>
    <row r="7" spans="1:47" x14ac:dyDescent="0.25">
      <c r="A7" s="4">
        <v>2069</v>
      </c>
      <c r="B7" s="4">
        <v>2069</v>
      </c>
      <c r="C7" s="4" t="s">
        <v>84</v>
      </c>
      <c r="D7" s="4" t="s">
        <v>85</v>
      </c>
      <c r="E7" s="4" t="s">
        <v>86</v>
      </c>
      <c r="F7" s="4" t="s">
        <v>87</v>
      </c>
      <c r="G7" s="5">
        <v>72</v>
      </c>
      <c r="H7" s="6">
        <v>5</v>
      </c>
      <c r="I7" s="6">
        <v>5</v>
      </c>
      <c r="J7" s="6">
        <v>2</v>
      </c>
      <c r="K7" s="8">
        <v>1</v>
      </c>
      <c r="L7" s="4">
        <v>0</v>
      </c>
      <c r="M7" s="14">
        <v>1</v>
      </c>
      <c r="N7" s="14">
        <v>1</v>
      </c>
      <c r="O7" s="17">
        <v>1</v>
      </c>
      <c r="P7" s="18">
        <v>1</v>
      </c>
      <c r="Q7" s="5">
        <v>1.8633627874061539E-5</v>
      </c>
      <c r="R7" s="4">
        <v>72</v>
      </c>
      <c r="S7" s="4">
        <v>1.5999999999999999E-5</v>
      </c>
      <c r="T7" s="4">
        <v>1.857332496431269</v>
      </c>
      <c r="U7" s="4" t="s">
        <v>43</v>
      </c>
      <c r="V7" s="4" t="s">
        <v>44</v>
      </c>
      <c r="W7" s="4" t="s">
        <v>88</v>
      </c>
      <c r="X7" s="4" t="s">
        <v>88</v>
      </c>
      <c r="Y7" s="4" t="s">
        <v>46</v>
      </c>
      <c r="Z7" s="4" t="s">
        <v>47</v>
      </c>
      <c r="AA7" s="4" t="s">
        <v>89</v>
      </c>
      <c r="AB7" s="4" t="s">
        <v>90</v>
      </c>
      <c r="AC7" s="4">
        <v>437</v>
      </c>
      <c r="AD7" s="4">
        <v>46816</v>
      </c>
      <c r="AE7" s="4" t="s">
        <v>91</v>
      </c>
      <c r="AF7" s="4">
        <v>5</v>
      </c>
      <c r="AG7" s="4">
        <v>1</v>
      </c>
      <c r="AH7" s="4">
        <v>-2</v>
      </c>
      <c r="AI7" s="4">
        <v>54.938000000000002</v>
      </c>
      <c r="AJ7" s="4">
        <v>-2.5000000000000001E-3</v>
      </c>
      <c r="AK7" s="4">
        <v>0</v>
      </c>
      <c r="AL7" s="4">
        <v>0</v>
      </c>
      <c r="AM7" s="4">
        <v>0</v>
      </c>
      <c r="AN7" s="4">
        <v>2.2883295194508008E-2</v>
      </c>
      <c r="AO7" s="4">
        <v>1.173487696514012E-3</v>
      </c>
      <c r="AP7" s="4">
        <v>2</v>
      </c>
      <c r="AQ7" s="4">
        <v>1</v>
      </c>
      <c r="AR7" s="4" t="s">
        <v>51</v>
      </c>
      <c r="AS7" s="4">
        <v>1</v>
      </c>
      <c r="AT7" s="4">
        <v>1</v>
      </c>
      <c r="AU7" s="4">
        <v>2069</v>
      </c>
    </row>
    <row r="8" spans="1:47" x14ac:dyDescent="0.25">
      <c r="A8" s="4">
        <v>1023</v>
      </c>
      <c r="B8" s="4">
        <v>1023</v>
      </c>
      <c r="C8" s="4" t="s">
        <v>92</v>
      </c>
      <c r="D8" s="4" t="s">
        <v>93</v>
      </c>
      <c r="E8" s="4" t="s">
        <v>94</v>
      </c>
      <c r="F8" s="4" t="s">
        <v>95</v>
      </c>
      <c r="G8" s="5">
        <v>391.99999999999989</v>
      </c>
      <c r="H8" s="6">
        <v>6</v>
      </c>
      <c r="I8" s="6">
        <v>6</v>
      </c>
      <c r="J8" s="15">
        <v>6</v>
      </c>
      <c r="K8" s="16">
        <v>1</v>
      </c>
      <c r="L8" s="4">
        <v>0</v>
      </c>
      <c r="M8" s="14">
        <v>3</v>
      </c>
      <c r="N8" s="14">
        <v>3</v>
      </c>
      <c r="O8" s="14">
        <v>3</v>
      </c>
      <c r="P8" s="13">
        <v>0</v>
      </c>
      <c r="Q8" s="5">
        <v>3.3807999763341618E-3</v>
      </c>
      <c r="R8" s="4">
        <v>392</v>
      </c>
      <c r="S8" s="4">
        <v>3.3809999999999999E-3</v>
      </c>
      <c r="T8" s="4">
        <v>2.5932860670204572</v>
      </c>
      <c r="U8" s="4" t="s">
        <v>43</v>
      </c>
      <c r="V8" s="4" t="s">
        <v>44</v>
      </c>
      <c r="W8" s="4" t="s">
        <v>96</v>
      </c>
      <c r="X8" s="4" t="s">
        <v>96</v>
      </c>
      <c r="Y8" s="4" t="s">
        <v>46</v>
      </c>
      <c r="Z8" s="4" t="s">
        <v>47</v>
      </c>
      <c r="AA8" s="4" t="s">
        <v>97</v>
      </c>
      <c r="AB8" s="4" t="s">
        <v>98</v>
      </c>
      <c r="AC8" s="4">
        <v>500</v>
      </c>
      <c r="AD8" s="4">
        <v>53002</v>
      </c>
      <c r="AE8" s="4" t="s">
        <v>99</v>
      </c>
      <c r="AF8" s="4">
        <v>6</v>
      </c>
      <c r="AG8" s="4">
        <v>3</v>
      </c>
      <c r="AH8" s="4">
        <v>-2</v>
      </c>
      <c r="AI8" s="4">
        <v>205.34800000000001</v>
      </c>
      <c r="AJ8" s="4">
        <v>3.2357700000000018</v>
      </c>
      <c r="AK8" s="4">
        <v>1</v>
      </c>
      <c r="AL8" s="4">
        <v>2</v>
      </c>
      <c r="AM8" s="4">
        <v>3</v>
      </c>
      <c r="AN8" s="4">
        <v>0.01</v>
      </c>
      <c r="AO8" s="4">
        <v>3.8743443643636092E-3</v>
      </c>
      <c r="AP8" s="4">
        <v>1</v>
      </c>
      <c r="AQ8" s="4">
        <v>1</v>
      </c>
      <c r="AR8" s="4" t="s">
        <v>51</v>
      </c>
      <c r="AS8" s="4">
        <v>1</v>
      </c>
      <c r="AT8" s="4">
        <v>0</v>
      </c>
      <c r="AU8" s="4">
        <v>1023</v>
      </c>
    </row>
    <row r="9" spans="1:47" x14ac:dyDescent="0.25">
      <c r="A9" s="4">
        <v>244</v>
      </c>
      <c r="B9" s="4">
        <v>244</v>
      </c>
      <c r="C9" s="4" t="s">
        <v>100</v>
      </c>
      <c r="D9" s="4" t="s">
        <v>101</v>
      </c>
      <c r="E9" s="4" t="s">
        <v>102</v>
      </c>
      <c r="F9" s="4" t="s">
        <v>103</v>
      </c>
      <c r="G9" s="5">
        <v>6.8333330000000012E-2</v>
      </c>
      <c r="H9" s="6">
        <v>2</v>
      </c>
      <c r="I9" s="6">
        <v>2</v>
      </c>
      <c r="J9" s="6">
        <v>0</v>
      </c>
      <c r="K9" s="8">
        <v>1</v>
      </c>
      <c r="L9" s="4">
        <v>0</v>
      </c>
      <c r="M9" s="14">
        <v>0</v>
      </c>
      <c r="N9" s="14">
        <v>0</v>
      </c>
      <c r="O9" s="14">
        <v>0</v>
      </c>
      <c r="P9" s="13">
        <v>0</v>
      </c>
      <c r="Q9" s="5">
        <v>3.9999999999999982E-7</v>
      </c>
      <c r="R9" s="4">
        <v>6.8333329999999998E-2</v>
      </c>
      <c r="S9" s="4">
        <v>3.9999999999999998E-7</v>
      </c>
      <c r="T9" s="4">
        <v>-1.165367414849005</v>
      </c>
      <c r="U9" s="4" t="s">
        <v>43</v>
      </c>
      <c r="V9" s="4" t="s">
        <v>44</v>
      </c>
      <c r="W9" s="4" t="s">
        <v>104</v>
      </c>
      <c r="X9" s="4" t="s">
        <v>104</v>
      </c>
      <c r="Y9" s="4" t="s">
        <v>46</v>
      </c>
      <c r="Z9" s="4" t="s">
        <v>47</v>
      </c>
      <c r="AA9" s="4" t="s">
        <v>48</v>
      </c>
      <c r="AB9" s="4" t="s">
        <v>49</v>
      </c>
      <c r="AC9" s="4">
        <v>323</v>
      </c>
      <c r="AD9" s="4">
        <v>36877</v>
      </c>
      <c r="AE9" s="4" t="s">
        <v>105</v>
      </c>
      <c r="AF9" s="4">
        <v>2</v>
      </c>
      <c r="AG9" s="4">
        <v>0</v>
      </c>
      <c r="AH9" s="4">
        <v>-2</v>
      </c>
      <c r="AI9" s="4">
        <v>288.43099999999998</v>
      </c>
      <c r="AJ9" s="4">
        <v>3.879200000000004</v>
      </c>
      <c r="AK9" s="4">
        <v>4</v>
      </c>
      <c r="AL9" s="4">
        <v>1</v>
      </c>
      <c r="AM9" s="4">
        <v>2</v>
      </c>
      <c r="AN9" s="4">
        <v>1.238390092879257E-2</v>
      </c>
      <c r="AO9" s="4">
        <v>7.8214334137809479E-3</v>
      </c>
      <c r="AP9" s="4">
        <v>1</v>
      </c>
      <c r="AQ9" s="4">
        <v>1</v>
      </c>
      <c r="AR9" s="4" t="s">
        <v>51</v>
      </c>
      <c r="AS9" s="4">
        <v>1</v>
      </c>
      <c r="AT9" s="4">
        <v>0</v>
      </c>
      <c r="AU9" s="4">
        <v>244</v>
      </c>
    </row>
    <row r="10" spans="1:47" x14ac:dyDescent="0.25">
      <c r="A10" s="4">
        <v>561</v>
      </c>
      <c r="B10" s="4">
        <v>561</v>
      </c>
      <c r="C10" s="4" t="s">
        <v>106</v>
      </c>
      <c r="D10" s="4" t="s">
        <v>107</v>
      </c>
      <c r="E10" s="4" t="s">
        <v>108</v>
      </c>
      <c r="F10" s="4" t="s">
        <v>109</v>
      </c>
      <c r="G10" s="5">
        <v>7.0000000000000021E-2</v>
      </c>
      <c r="H10" s="6">
        <v>2</v>
      </c>
      <c r="I10" s="6">
        <v>3</v>
      </c>
      <c r="J10" s="6">
        <v>0</v>
      </c>
      <c r="K10" s="8">
        <v>1</v>
      </c>
      <c r="L10" s="4">
        <v>0</v>
      </c>
      <c r="M10" s="14">
        <v>1</v>
      </c>
      <c r="N10" s="14">
        <v>1</v>
      </c>
      <c r="O10" s="14">
        <v>1</v>
      </c>
      <c r="P10" s="13">
        <v>0</v>
      </c>
      <c r="Q10" s="5">
        <v>1.7E-5</v>
      </c>
      <c r="R10" s="4">
        <v>7.0000000000000007E-2</v>
      </c>
      <c r="S10" s="4">
        <v>1.7E-5</v>
      </c>
      <c r="T10" s="4">
        <v>-1.1549019599857431</v>
      </c>
      <c r="U10" s="4" t="s">
        <v>43</v>
      </c>
      <c r="V10" s="4" t="s">
        <v>44</v>
      </c>
      <c r="W10" s="4" t="s">
        <v>110</v>
      </c>
      <c r="X10" s="4" t="s">
        <v>110</v>
      </c>
      <c r="Y10" s="4" t="s">
        <v>46</v>
      </c>
      <c r="Z10" s="4" t="s">
        <v>47</v>
      </c>
      <c r="AA10" s="4" t="s">
        <v>48</v>
      </c>
      <c r="AB10" s="4" t="s">
        <v>49</v>
      </c>
      <c r="AC10" s="4">
        <v>323</v>
      </c>
      <c r="AD10" s="4">
        <v>37014</v>
      </c>
      <c r="AE10" s="4" t="s">
        <v>111</v>
      </c>
      <c r="AF10" s="4">
        <v>2</v>
      </c>
      <c r="AG10" s="4">
        <v>1</v>
      </c>
      <c r="AH10" s="4">
        <v>-2</v>
      </c>
      <c r="AI10" s="4">
        <v>292.46300000000002</v>
      </c>
      <c r="AJ10" s="4">
        <v>3.7509000000000019</v>
      </c>
      <c r="AK10" s="4">
        <v>4</v>
      </c>
      <c r="AL10" s="4">
        <v>2</v>
      </c>
      <c r="AM10" s="4">
        <v>2</v>
      </c>
      <c r="AN10" s="4">
        <v>1.238390092879257E-2</v>
      </c>
      <c r="AO10" s="4">
        <v>7.9014156805533049E-3</v>
      </c>
      <c r="AP10" s="4">
        <v>1</v>
      </c>
      <c r="AQ10" s="4">
        <v>1</v>
      </c>
      <c r="AR10" s="4" t="s">
        <v>51</v>
      </c>
      <c r="AS10" s="4">
        <v>1</v>
      </c>
      <c r="AT10" s="4">
        <v>0</v>
      </c>
      <c r="AU10" s="4">
        <v>561</v>
      </c>
    </row>
    <row r="11" spans="1:47" x14ac:dyDescent="0.25">
      <c r="A11" s="4">
        <v>2130</v>
      </c>
      <c r="B11" s="4">
        <v>2130</v>
      </c>
      <c r="C11" s="4" t="s">
        <v>112</v>
      </c>
      <c r="D11" s="4" t="s">
        <v>113</v>
      </c>
      <c r="E11" s="4" t="s">
        <v>114</v>
      </c>
      <c r="F11" s="4" t="s">
        <v>115</v>
      </c>
      <c r="G11" s="5">
        <v>124</v>
      </c>
      <c r="H11" s="6">
        <v>6</v>
      </c>
      <c r="I11" s="6">
        <v>6</v>
      </c>
      <c r="J11" s="6">
        <v>4</v>
      </c>
      <c r="K11" s="8">
        <v>1</v>
      </c>
      <c r="L11" s="4">
        <v>0</v>
      </c>
      <c r="M11" s="14">
        <v>2</v>
      </c>
      <c r="N11" s="14">
        <v>2</v>
      </c>
      <c r="O11" s="14">
        <v>5</v>
      </c>
      <c r="P11" s="13">
        <v>1</v>
      </c>
      <c r="Q11" s="5">
        <v>1.5243435318369039E-4</v>
      </c>
      <c r="R11" s="4">
        <v>124</v>
      </c>
      <c r="S11" s="4">
        <v>1.3999999999999999E-4</v>
      </c>
      <c r="T11" s="4">
        <v>2.0934216851622351</v>
      </c>
      <c r="U11" s="4" t="s">
        <v>43</v>
      </c>
      <c r="V11" s="4" t="s">
        <v>44</v>
      </c>
      <c r="W11" s="4" t="s">
        <v>116</v>
      </c>
      <c r="X11" s="4" t="s">
        <v>116</v>
      </c>
      <c r="Y11" s="4" t="s">
        <v>46</v>
      </c>
      <c r="Z11" s="4" t="s">
        <v>47</v>
      </c>
      <c r="AA11" s="4" t="s">
        <v>117</v>
      </c>
      <c r="AB11" s="4" t="s">
        <v>118</v>
      </c>
      <c r="AC11" s="4">
        <v>292</v>
      </c>
      <c r="AD11" s="4">
        <v>31270</v>
      </c>
      <c r="AE11" s="4" t="s">
        <v>119</v>
      </c>
      <c r="AF11" s="4">
        <v>6</v>
      </c>
      <c r="AG11" s="4">
        <v>2</v>
      </c>
      <c r="AH11" s="4">
        <v>-3</v>
      </c>
      <c r="AI11" s="4">
        <v>117.104</v>
      </c>
      <c r="AJ11" s="4">
        <v>-1.0126999999999999</v>
      </c>
      <c r="AK11" s="4">
        <v>0</v>
      </c>
      <c r="AL11" s="4">
        <v>2</v>
      </c>
      <c r="AM11" s="4">
        <v>3</v>
      </c>
      <c r="AN11" s="4">
        <v>3.4246575342465752E-2</v>
      </c>
      <c r="AO11" s="4">
        <v>3.7449312440038371E-3</v>
      </c>
      <c r="AP11" s="4">
        <v>2</v>
      </c>
      <c r="AQ11" s="4">
        <v>1</v>
      </c>
      <c r="AR11" s="4" t="s">
        <v>51</v>
      </c>
      <c r="AS11" s="4">
        <v>1</v>
      </c>
      <c r="AT11" s="4">
        <v>1</v>
      </c>
      <c r="AU11" s="4">
        <v>2130</v>
      </c>
    </row>
  </sheetData>
  <autoFilter ref="A1:AU11" xr:uid="{DCB2E504-0E22-4252-BC7B-153593F62571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6F0D-038F-469B-B9F5-10C480E3A506}">
  <dimension ref="A1:AN11"/>
  <sheetViews>
    <sheetView topLeftCell="N1" workbookViewId="0">
      <selection activeCell="AL1" sqref="AL1:AN11"/>
    </sheetView>
  </sheetViews>
  <sheetFormatPr defaultRowHeight="15" x14ac:dyDescent="0.25"/>
  <cols>
    <col min="3" max="4" width="13.85546875" customWidth="1"/>
    <col min="6" max="6" width="7.42578125" customWidth="1"/>
    <col min="13" max="13" width="9.140625" style="30"/>
    <col min="14" max="14" width="10.5703125" bestFit="1" customWidth="1"/>
    <col min="15" max="15" width="13.140625" bestFit="1" customWidth="1"/>
    <col min="17" max="17" width="11.28515625" bestFit="1" customWidth="1"/>
    <col min="18" max="19" width="11.28515625" customWidth="1"/>
  </cols>
  <sheetData>
    <row r="1" spans="1:40" s="25" customFormat="1" x14ac:dyDescent="0.25">
      <c r="A1" s="25" t="s">
        <v>303</v>
      </c>
      <c r="B1" s="32" t="s">
        <v>304</v>
      </c>
      <c r="C1" s="32" t="s">
        <v>2</v>
      </c>
      <c r="D1" s="32" t="s">
        <v>6</v>
      </c>
      <c r="E1" s="32" t="s">
        <v>8</v>
      </c>
      <c r="F1" s="32" t="s">
        <v>4</v>
      </c>
      <c r="G1" s="32" t="s">
        <v>305</v>
      </c>
      <c r="H1" s="32" t="s">
        <v>19</v>
      </c>
      <c r="I1" s="32" t="s">
        <v>306</v>
      </c>
      <c r="J1" s="32" t="s">
        <v>307</v>
      </c>
      <c r="K1" s="32" t="s">
        <v>308</v>
      </c>
      <c r="L1" s="32" t="s">
        <v>5</v>
      </c>
      <c r="M1" s="32" t="s">
        <v>309</v>
      </c>
      <c r="N1" s="32" t="s">
        <v>135</v>
      </c>
      <c r="O1" s="32" t="s">
        <v>21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1" t="s">
        <v>36</v>
      </c>
      <c r="AB1" s="1" t="s">
        <v>37</v>
      </c>
      <c r="AC1" s="26" t="s">
        <v>310</v>
      </c>
      <c r="AD1" s="27" t="s">
        <v>311</v>
      </c>
      <c r="AE1" s="27" t="s">
        <v>312</v>
      </c>
      <c r="AF1" s="28" t="s">
        <v>313</v>
      </c>
      <c r="AG1" s="28" t="s">
        <v>314</v>
      </c>
      <c r="AH1" s="28" t="s">
        <v>315</v>
      </c>
      <c r="AI1" s="28" t="s">
        <v>316</v>
      </c>
      <c r="AJ1" s="28" t="s">
        <v>317</v>
      </c>
      <c r="AK1" s="28" t="s">
        <v>318</v>
      </c>
      <c r="AL1" s="28" t="s">
        <v>319</v>
      </c>
      <c r="AM1" s="25" t="s">
        <v>320</v>
      </c>
      <c r="AN1" s="25" t="s">
        <v>321</v>
      </c>
    </row>
    <row r="2" spans="1:40" x14ac:dyDescent="0.25">
      <c r="A2">
        <v>0</v>
      </c>
      <c r="B2" s="4" t="s">
        <v>40</v>
      </c>
      <c r="C2" s="4" t="s">
        <v>50</v>
      </c>
      <c r="D2" s="5">
        <v>3.3333330000000001E-2</v>
      </c>
      <c r="E2" s="5">
        <v>1.5999999999999999E-6</v>
      </c>
      <c r="F2" s="4" t="s">
        <v>41</v>
      </c>
      <c r="G2" s="4" t="s">
        <v>39</v>
      </c>
      <c r="H2" s="4" t="s">
        <v>49</v>
      </c>
      <c r="I2" s="4">
        <v>542</v>
      </c>
      <c r="K2" s="4" t="s">
        <v>45</v>
      </c>
      <c r="L2" s="4" t="s">
        <v>42</v>
      </c>
      <c r="M2"/>
      <c r="O2" s="4">
        <v>37067</v>
      </c>
      <c r="P2" s="4">
        <v>2</v>
      </c>
      <c r="Q2" s="4">
        <v>0</v>
      </c>
      <c r="R2" s="4">
        <v>-2</v>
      </c>
      <c r="S2" s="4">
        <v>318.50100000000009</v>
      </c>
      <c r="T2" s="4">
        <v>4.5952000000000046</v>
      </c>
      <c r="U2" s="4">
        <v>4</v>
      </c>
      <c r="V2" s="4">
        <v>1</v>
      </c>
      <c r="W2" s="4">
        <v>2</v>
      </c>
      <c r="X2" s="4">
        <v>1.238390092879257E-2</v>
      </c>
      <c r="Y2" s="4">
        <v>8.5925756063344773E-3</v>
      </c>
      <c r="Z2" s="4">
        <v>1</v>
      </c>
      <c r="AA2" s="4">
        <v>1</v>
      </c>
      <c r="AB2" s="4">
        <v>0</v>
      </c>
      <c r="AC2" s="5">
        <v>3.3333330000000001E-2</v>
      </c>
      <c r="AD2" s="5">
        <v>4.4900000000000002E-2</v>
      </c>
      <c r="AE2" s="5">
        <v>4.2799999999999998E-2</v>
      </c>
      <c r="AF2" s="5">
        <v>5.7380631824366889E-3</v>
      </c>
      <c r="AG2" s="5">
        <v>6.5809894423268771E-3</v>
      </c>
      <c r="AH2" s="5">
        <v>8.1336629214166511E-2</v>
      </c>
      <c r="AI2" s="5">
        <v>8.18617025872104E-2</v>
      </c>
      <c r="AJ2" s="5">
        <v>4.2145199189647098E-2</v>
      </c>
      <c r="AK2" s="5">
        <v>4.2127630428570803E-2</v>
      </c>
      <c r="AL2" s="33">
        <v>2</v>
      </c>
      <c r="AM2" s="33">
        <v>2</v>
      </c>
      <c r="AN2" s="33">
        <v>0</v>
      </c>
    </row>
    <row r="3" spans="1:40" x14ac:dyDescent="0.25">
      <c r="A3">
        <v>1</v>
      </c>
      <c r="B3" s="4" t="s">
        <v>53</v>
      </c>
      <c r="C3" s="4" t="s">
        <v>59</v>
      </c>
      <c r="D3" s="5">
        <v>0.26500000000000001</v>
      </c>
      <c r="E3" s="5">
        <v>1.7399999999999989E-5</v>
      </c>
      <c r="F3" s="4" t="s">
        <v>54</v>
      </c>
      <c r="G3" s="4" t="s">
        <v>52</v>
      </c>
      <c r="H3" s="4" t="s">
        <v>58</v>
      </c>
      <c r="I3" s="4">
        <v>3403</v>
      </c>
      <c r="K3" s="4" t="s">
        <v>56</v>
      </c>
      <c r="L3" s="4" t="s">
        <v>55</v>
      </c>
      <c r="M3"/>
      <c r="O3" s="4">
        <v>37874</v>
      </c>
      <c r="P3" s="4">
        <v>3</v>
      </c>
      <c r="Q3" s="4">
        <v>1</v>
      </c>
      <c r="R3" s="4">
        <v>0</v>
      </c>
      <c r="S3" s="4">
        <v>363.22300000000001</v>
      </c>
      <c r="T3" s="4">
        <v>-2.327030000000001</v>
      </c>
      <c r="U3" s="4">
        <v>3</v>
      </c>
      <c r="V3" s="4">
        <v>7</v>
      </c>
      <c r="W3" s="4">
        <v>10</v>
      </c>
      <c r="X3" s="4">
        <v>2.8735632183908049E-2</v>
      </c>
      <c r="Y3" s="4">
        <v>9.5902994138459107E-3</v>
      </c>
      <c r="Z3" s="4">
        <v>2</v>
      </c>
      <c r="AA3" s="4">
        <v>0</v>
      </c>
      <c r="AB3" s="4">
        <v>1</v>
      </c>
      <c r="AC3" s="5">
        <v>0.26500000000000001</v>
      </c>
      <c r="AD3" s="5">
        <v>2.1854</v>
      </c>
      <c r="AE3" s="5">
        <v>2.3426999999999998</v>
      </c>
      <c r="AF3" s="5">
        <v>0.12831681284699686</v>
      </c>
      <c r="AG3" s="5">
        <v>0.16179131786612255</v>
      </c>
      <c r="AH3" s="5">
        <v>0.55080292632129868</v>
      </c>
      <c r="AI3" s="5">
        <v>0.45582658072553528</v>
      </c>
      <c r="AJ3" s="5">
        <v>0.17595425480972701</v>
      </c>
      <c r="AK3" s="5">
        <v>2.3896040143534501E-2</v>
      </c>
      <c r="AL3" s="33">
        <v>3</v>
      </c>
      <c r="AM3" s="33">
        <v>3</v>
      </c>
      <c r="AN3" s="33">
        <v>3</v>
      </c>
    </row>
    <row r="4" spans="1:40" x14ac:dyDescent="0.25">
      <c r="A4">
        <v>2</v>
      </c>
      <c r="B4" s="4" t="s">
        <v>61</v>
      </c>
      <c r="C4" s="4" t="s">
        <v>67</v>
      </c>
      <c r="D4" s="5">
        <v>5.4772255750516599E-2</v>
      </c>
      <c r="E4" s="5">
        <v>4.5000000000000031E-4</v>
      </c>
      <c r="F4" s="4" t="s">
        <v>62</v>
      </c>
      <c r="G4" s="4" t="s">
        <v>60</v>
      </c>
      <c r="H4" s="4" t="s">
        <v>66</v>
      </c>
      <c r="I4" s="4">
        <v>794</v>
      </c>
      <c r="K4" s="4" t="s">
        <v>64</v>
      </c>
      <c r="L4" s="4" t="s">
        <v>63</v>
      </c>
      <c r="M4"/>
      <c r="O4" s="4">
        <v>56145</v>
      </c>
      <c r="P4" s="4">
        <v>2</v>
      </c>
      <c r="Q4" s="4">
        <v>2</v>
      </c>
      <c r="R4" s="4">
        <v>-1</v>
      </c>
      <c r="S4" s="4">
        <v>102.089</v>
      </c>
      <c r="T4" s="4">
        <v>5.0099999999999978E-2</v>
      </c>
      <c r="U4" s="4">
        <v>0</v>
      </c>
      <c r="V4" s="4">
        <v>1</v>
      </c>
      <c r="W4" s="4">
        <v>2</v>
      </c>
      <c r="X4" s="4">
        <v>1.901140684410646E-2</v>
      </c>
      <c r="Y4" s="4">
        <v>1.818309733725176E-3</v>
      </c>
      <c r="Z4" s="4">
        <v>2</v>
      </c>
      <c r="AA4" s="4">
        <v>1</v>
      </c>
      <c r="AB4" s="4">
        <v>1</v>
      </c>
      <c r="AC4" s="5">
        <v>5.4772255750516599E-2</v>
      </c>
      <c r="AD4" s="5">
        <v>2.1758999999999999</v>
      </c>
      <c r="AE4" s="5">
        <v>1.3488</v>
      </c>
      <c r="AF4" s="5">
        <v>7.7225097626382437</v>
      </c>
      <c r="AG4" s="5">
        <v>7.7622797025028225</v>
      </c>
      <c r="AH4" s="5">
        <v>2.4670401868281351</v>
      </c>
      <c r="AI4" s="5">
        <v>4.6066867203964943</v>
      </c>
      <c r="AJ4" s="5">
        <v>61.162058768385002</v>
      </c>
      <c r="AK4" s="5">
        <v>2.6312382534030301E-2</v>
      </c>
      <c r="AL4" s="33">
        <v>2</v>
      </c>
      <c r="AM4" s="33">
        <v>5</v>
      </c>
      <c r="AN4" s="33">
        <v>1</v>
      </c>
    </row>
    <row r="5" spans="1:40" x14ac:dyDescent="0.25">
      <c r="A5">
        <v>3</v>
      </c>
      <c r="B5" s="4" t="s">
        <v>69</v>
      </c>
      <c r="C5" s="4" t="s">
        <v>75</v>
      </c>
      <c r="D5" s="5">
        <v>8.4899999999999984</v>
      </c>
      <c r="E5" s="5">
        <v>6.5000000000000062E-5</v>
      </c>
      <c r="F5" s="4" t="s">
        <v>70</v>
      </c>
      <c r="G5" s="4" t="s">
        <v>68</v>
      </c>
      <c r="H5" s="4" t="s">
        <v>74</v>
      </c>
      <c r="I5" s="4">
        <v>3136</v>
      </c>
      <c r="K5" s="4" t="s">
        <v>72</v>
      </c>
      <c r="L5" s="4" t="s">
        <v>71</v>
      </c>
      <c r="M5"/>
      <c r="O5" s="4">
        <v>36230</v>
      </c>
      <c r="P5" s="4">
        <v>4</v>
      </c>
      <c r="Q5" s="4">
        <v>1</v>
      </c>
      <c r="R5" s="4">
        <v>-2</v>
      </c>
      <c r="S5" s="4">
        <v>743.40900000000056</v>
      </c>
      <c r="T5" s="4">
        <v>-2.746429999999997</v>
      </c>
      <c r="U5" s="4">
        <v>5</v>
      </c>
      <c r="V5" s="4">
        <v>9</v>
      </c>
      <c r="W5" s="4">
        <v>19</v>
      </c>
      <c r="X5" s="4">
        <v>2.8985507246376808E-2</v>
      </c>
      <c r="Y5" s="4">
        <v>2.051915539608061E-2</v>
      </c>
      <c r="Z5" s="4">
        <v>2</v>
      </c>
      <c r="AA5" s="4">
        <v>1</v>
      </c>
      <c r="AB5" s="4">
        <v>0</v>
      </c>
      <c r="AC5" s="5">
        <v>8.4899999999999984</v>
      </c>
      <c r="AD5" s="5">
        <v>7.0464000000000002</v>
      </c>
      <c r="AE5" s="5">
        <v>8.8350000000000009</v>
      </c>
      <c r="AF5" s="5">
        <v>4.7020235180562144</v>
      </c>
      <c r="AG5" s="5">
        <v>5.8901519310726718</v>
      </c>
      <c r="AH5" s="5">
        <v>5.0373145883357786</v>
      </c>
      <c r="AI5" s="5">
        <v>3.2880369590859582</v>
      </c>
      <c r="AJ5" s="5">
        <v>4.5018251120898398</v>
      </c>
      <c r="AK5" s="5">
        <v>2.2466914187213201</v>
      </c>
      <c r="AL5" s="33">
        <v>4</v>
      </c>
      <c r="AM5" s="33">
        <v>4</v>
      </c>
      <c r="AN5" s="33">
        <v>1</v>
      </c>
    </row>
    <row r="6" spans="1:40" x14ac:dyDescent="0.25">
      <c r="A6">
        <v>4</v>
      </c>
      <c r="B6" s="4" t="s">
        <v>77</v>
      </c>
      <c r="C6" s="4" t="s">
        <v>83</v>
      </c>
      <c r="D6" s="5">
        <v>87</v>
      </c>
      <c r="E6" s="5">
        <v>6.7823299831252773E-6</v>
      </c>
      <c r="F6" s="4" t="s">
        <v>78</v>
      </c>
      <c r="G6" s="4" t="s">
        <v>76</v>
      </c>
      <c r="H6" s="4" t="s">
        <v>82</v>
      </c>
      <c r="I6" s="4">
        <v>1361</v>
      </c>
      <c r="K6" s="4" t="s">
        <v>80</v>
      </c>
      <c r="L6" s="4" t="s">
        <v>79</v>
      </c>
      <c r="M6"/>
      <c r="O6" s="4">
        <v>97899</v>
      </c>
      <c r="P6" s="4">
        <v>5</v>
      </c>
      <c r="Q6" s="4">
        <v>1</v>
      </c>
      <c r="R6" s="4">
        <v>-2</v>
      </c>
      <c r="S6" s="4">
        <v>173.941</v>
      </c>
      <c r="T6" s="4">
        <v>-3.3395999999999999</v>
      </c>
      <c r="U6" s="4">
        <v>0</v>
      </c>
      <c r="V6" s="4">
        <v>0</v>
      </c>
      <c r="W6" s="4">
        <v>7</v>
      </c>
      <c r="X6" s="4">
        <v>1.1299435028248589E-2</v>
      </c>
      <c r="Y6" s="4">
        <v>1.776739292536185E-3</v>
      </c>
      <c r="Z6" s="4">
        <v>2</v>
      </c>
      <c r="AA6" s="4">
        <v>1</v>
      </c>
      <c r="AB6" s="4">
        <v>1</v>
      </c>
      <c r="AC6" s="5">
        <v>87</v>
      </c>
      <c r="AD6" s="5">
        <v>19.166899999999998</v>
      </c>
      <c r="AE6" s="5">
        <v>15.8194</v>
      </c>
      <c r="AF6" s="5">
        <v>14.447871521539954</v>
      </c>
      <c r="AG6" s="5">
        <v>14.720984937340722</v>
      </c>
      <c r="AH6" s="5">
        <v>29.5698054323198</v>
      </c>
      <c r="AI6" s="5">
        <v>26.24118517356904</v>
      </c>
      <c r="AJ6" s="5">
        <v>6.8321409587074404</v>
      </c>
      <c r="AK6" s="5">
        <v>2.1296422056955699</v>
      </c>
      <c r="AL6" s="33">
        <v>5</v>
      </c>
      <c r="AM6" s="33">
        <v>5</v>
      </c>
      <c r="AN6" s="36">
        <v>5</v>
      </c>
    </row>
    <row r="7" spans="1:40" x14ac:dyDescent="0.25">
      <c r="A7">
        <v>5</v>
      </c>
      <c r="B7" s="4" t="s">
        <v>85</v>
      </c>
      <c r="C7" s="4" t="s">
        <v>91</v>
      </c>
      <c r="D7" s="5">
        <v>72</v>
      </c>
      <c r="E7" s="5">
        <v>1.8633627874061539E-5</v>
      </c>
      <c r="F7" s="4" t="s">
        <v>86</v>
      </c>
      <c r="G7" s="4" t="s">
        <v>84</v>
      </c>
      <c r="H7" s="4" t="s">
        <v>90</v>
      </c>
      <c r="I7" s="4">
        <v>2069</v>
      </c>
      <c r="K7" s="4" t="s">
        <v>88</v>
      </c>
      <c r="L7" s="4" t="s">
        <v>87</v>
      </c>
      <c r="M7"/>
      <c r="O7" s="4">
        <v>46816</v>
      </c>
      <c r="P7" s="4">
        <v>5</v>
      </c>
      <c r="Q7" s="4">
        <v>1</v>
      </c>
      <c r="R7" s="4">
        <v>-2</v>
      </c>
      <c r="S7" s="4">
        <v>54.938000000000002</v>
      </c>
      <c r="T7" s="4">
        <v>-2.5000000000000001E-3</v>
      </c>
      <c r="U7" s="4">
        <v>0</v>
      </c>
      <c r="V7" s="4">
        <v>0</v>
      </c>
      <c r="W7" s="4">
        <v>0</v>
      </c>
      <c r="X7" s="4">
        <v>2.2883295194508008E-2</v>
      </c>
      <c r="Y7" s="4">
        <v>1.173487696514012E-3</v>
      </c>
      <c r="Z7" s="4">
        <v>2</v>
      </c>
      <c r="AA7" s="4">
        <v>1</v>
      </c>
      <c r="AB7" s="4">
        <v>1</v>
      </c>
      <c r="AC7" s="5">
        <v>72</v>
      </c>
      <c r="AD7" s="5">
        <v>40.266500000000001</v>
      </c>
      <c r="AE7" s="5">
        <v>37.922199999999997</v>
      </c>
      <c r="AF7" s="5">
        <v>1.1567861786362059E-2</v>
      </c>
      <c r="AG7" s="5">
        <v>8.230901400914677E-3</v>
      </c>
      <c r="AH7" s="5">
        <v>22.993165465211622</v>
      </c>
      <c r="AI7" s="5">
        <v>14.75460480441116</v>
      </c>
      <c r="AJ7" s="5">
        <v>46.222908400933299</v>
      </c>
      <c r="AK7" s="5">
        <v>0.18640369886812699</v>
      </c>
      <c r="AL7" s="33">
        <v>5</v>
      </c>
      <c r="AM7" s="33">
        <v>5</v>
      </c>
      <c r="AN7" s="33">
        <v>2</v>
      </c>
    </row>
    <row r="8" spans="1:40" x14ac:dyDescent="0.25">
      <c r="A8">
        <v>6</v>
      </c>
      <c r="B8" s="4" t="s">
        <v>93</v>
      </c>
      <c r="C8" s="4" t="s">
        <v>99</v>
      </c>
      <c r="D8" s="5">
        <v>391.99999999999989</v>
      </c>
      <c r="E8" s="5">
        <v>3.3807999763341618E-3</v>
      </c>
      <c r="F8" s="4" t="s">
        <v>94</v>
      </c>
      <c r="G8" s="4" t="s">
        <v>92</v>
      </c>
      <c r="H8" s="4" t="s">
        <v>98</v>
      </c>
      <c r="I8" s="4">
        <v>1023</v>
      </c>
      <c r="K8" s="4" t="s">
        <v>96</v>
      </c>
      <c r="L8" s="4" t="s">
        <v>95</v>
      </c>
      <c r="M8"/>
      <c r="O8" s="4">
        <v>53002</v>
      </c>
      <c r="P8" s="4">
        <v>6</v>
      </c>
      <c r="Q8" s="4">
        <v>3</v>
      </c>
      <c r="R8" s="4">
        <v>-2</v>
      </c>
      <c r="S8" s="4">
        <v>205.34800000000001</v>
      </c>
      <c r="T8" s="4">
        <v>3.2357700000000018</v>
      </c>
      <c r="U8" s="4">
        <v>1</v>
      </c>
      <c r="V8" s="4">
        <v>2</v>
      </c>
      <c r="W8" s="4">
        <v>3</v>
      </c>
      <c r="X8" s="4">
        <v>0.01</v>
      </c>
      <c r="Y8" s="4">
        <v>3.8743443643636092E-3</v>
      </c>
      <c r="Z8" s="4">
        <v>1</v>
      </c>
      <c r="AA8" s="4">
        <v>1</v>
      </c>
      <c r="AB8" s="4">
        <v>0</v>
      </c>
      <c r="AC8" s="5">
        <v>391.99999999999989</v>
      </c>
      <c r="AD8" s="5">
        <v>102.657</v>
      </c>
      <c r="AE8" s="5">
        <v>96.104900000000001</v>
      </c>
      <c r="AF8" s="5">
        <v>182.49211857769097</v>
      </c>
      <c r="AG8" s="5">
        <v>185.35229598453236</v>
      </c>
      <c r="AH8" s="5">
        <v>161.89204837042939</v>
      </c>
      <c r="AI8" s="5">
        <v>133.39933277578811</v>
      </c>
      <c r="AJ8" s="5">
        <v>2.33844029880856</v>
      </c>
      <c r="AK8" s="5">
        <v>0.61592749552829995</v>
      </c>
      <c r="AL8" s="33">
        <v>6</v>
      </c>
      <c r="AM8" s="33">
        <v>6</v>
      </c>
      <c r="AN8" s="36">
        <v>6</v>
      </c>
    </row>
    <row r="9" spans="1:40" x14ac:dyDescent="0.25">
      <c r="A9">
        <v>7</v>
      </c>
      <c r="B9" s="4" t="s">
        <v>101</v>
      </c>
      <c r="C9" s="4" t="s">
        <v>105</v>
      </c>
      <c r="D9" s="5">
        <v>6.8333330000000012E-2</v>
      </c>
      <c r="E9" s="5">
        <v>3.9999999999999982E-7</v>
      </c>
      <c r="F9" s="4" t="s">
        <v>102</v>
      </c>
      <c r="G9" s="4" t="s">
        <v>100</v>
      </c>
      <c r="H9" s="4" t="s">
        <v>49</v>
      </c>
      <c r="I9" s="4">
        <v>244</v>
      </c>
      <c r="K9" s="4" t="s">
        <v>104</v>
      </c>
      <c r="L9" s="4" t="s">
        <v>103</v>
      </c>
      <c r="M9"/>
      <c r="O9" s="4">
        <v>36877</v>
      </c>
      <c r="P9" s="4">
        <v>2</v>
      </c>
      <c r="Q9" s="4">
        <v>0</v>
      </c>
      <c r="R9" s="4">
        <v>-2</v>
      </c>
      <c r="S9" s="4">
        <v>288.43099999999998</v>
      </c>
      <c r="T9" s="4">
        <v>3.879200000000004</v>
      </c>
      <c r="U9" s="4">
        <v>4</v>
      </c>
      <c r="V9" s="4">
        <v>1</v>
      </c>
      <c r="W9" s="4">
        <v>2</v>
      </c>
      <c r="X9" s="4">
        <v>1.238390092879257E-2</v>
      </c>
      <c r="Y9" s="4">
        <v>7.8214334137809479E-3</v>
      </c>
      <c r="Z9" s="4">
        <v>1</v>
      </c>
      <c r="AA9" s="4">
        <v>1</v>
      </c>
      <c r="AB9" s="4">
        <v>0</v>
      </c>
      <c r="AC9" s="5">
        <v>6.8333330000000012E-2</v>
      </c>
      <c r="AD9" s="5">
        <v>0.19689999999999999</v>
      </c>
      <c r="AE9" s="5">
        <v>0.2089</v>
      </c>
      <c r="AF9" s="5">
        <v>2.8514511643565558E-2</v>
      </c>
      <c r="AG9" s="5">
        <v>2.9321047205751051E-2</v>
      </c>
      <c r="AH9" s="5">
        <v>0.158678087556539</v>
      </c>
      <c r="AI9" s="5">
        <v>0.13210946019413841</v>
      </c>
      <c r="AJ9" s="5">
        <v>5.0863150298359798E-2</v>
      </c>
      <c r="AK9" s="5">
        <v>5.1530107391389503E-2</v>
      </c>
      <c r="AL9" s="33">
        <v>2</v>
      </c>
      <c r="AM9" s="33">
        <v>2</v>
      </c>
      <c r="AN9" s="33">
        <v>0</v>
      </c>
    </row>
    <row r="10" spans="1:40" x14ac:dyDescent="0.25">
      <c r="A10">
        <v>8</v>
      </c>
      <c r="B10" s="4" t="s">
        <v>107</v>
      </c>
      <c r="C10" s="4" t="s">
        <v>111</v>
      </c>
      <c r="D10" s="5">
        <v>7.0000000000000021E-2</v>
      </c>
      <c r="E10" s="5">
        <v>1.7E-5</v>
      </c>
      <c r="F10" s="4" t="s">
        <v>108</v>
      </c>
      <c r="G10" s="4" t="s">
        <v>106</v>
      </c>
      <c r="H10" s="4" t="s">
        <v>49</v>
      </c>
      <c r="I10" s="4">
        <v>561</v>
      </c>
      <c r="K10" s="4" t="s">
        <v>110</v>
      </c>
      <c r="L10" s="4" t="s">
        <v>109</v>
      </c>
      <c r="M10"/>
      <c r="O10" s="4">
        <v>37014</v>
      </c>
      <c r="P10" s="4">
        <v>2</v>
      </c>
      <c r="Q10" s="4">
        <v>1</v>
      </c>
      <c r="R10" s="4">
        <v>-2</v>
      </c>
      <c r="S10" s="4">
        <v>292.46300000000002</v>
      </c>
      <c r="T10" s="4">
        <v>3.7509000000000019</v>
      </c>
      <c r="U10" s="4">
        <v>4</v>
      </c>
      <c r="V10" s="4">
        <v>2</v>
      </c>
      <c r="W10" s="4">
        <v>2</v>
      </c>
      <c r="X10" s="4">
        <v>1.238390092879257E-2</v>
      </c>
      <c r="Y10" s="4">
        <v>7.9014156805533049E-3</v>
      </c>
      <c r="Z10" s="4">
        <v>1</v>
      </c>
      <c r="AA10" s="4">
        <v>1</v>
      </c>
      <c r="AB10" s="4">
        <v>0</v>
      </c>
      <c r="AC10" s="5">
        <v>7.0000000000000021E-2</v>
      </c>
      <c r="AD10" s="5">
        <v>0.1701</v>
      </c>
      <c r="AE10" s="5">
        <v>0.16980000000000001</v>
      </c>
      <c r="AF10" s="5">
        <v>0.35233988722821863</v>
      </c>
      <c r="AG10" s="5">
        <v>0.24061733808498451</v>
      </c>
      <c r="AH10" s="5">
        <v>0.19128102903332861</v>
      </c>
      <c r="AI10" s="5">
        <v>0.1956148038790145</v>
      </c>
      <c r="AJ10" s="5">
        <v>4.2748571053749997E-2</v>
      </c>
      <c r="AK10" s="5">
        <v>6.5472582290284895E-2</v>
      </c>
      <c r="AL10" s="33">
        <v>2</v>
      </c>
      <c r="AM10" s="33">
        <v>3</v>
      </c>
      <c r="AN10" s="33">
        <v>0</v>
      </c>
    </row>
    <row r="11" spans="1:40" x14ac:dyDescent="0.25">
      <c r="A11">
        <v>9</v>
      </c>
      <c r="B11" s="4" t="s">
        <v>113</v>
      </c>
      <c r="C11" s="4" t="s">
        <v>119</v>
      </c>
      <c r="D11" s="5">
        <v>124</v>
      </c>
      <c r="E11" s="5">
        <v>1.5243435318369039E-4</v>
      </c>
      <c r="F11" s="4" t="s">
        <v>114</v>
      </c>
      <c r="G11" s="4" t="s">
        <v>112</v>
      </c>
      <c r="H11" s="4" t="s">
        <v>118</v>
      </c>
      <c r="I11" s="4">
        <v>2130</v>
      </c>
      <c r="K11" s="4" t="s">
        <v>116</v>
      </c>
      <c r="L11" s="4" t="s">
        <v>115</v>
      </c>
      <c r="M11"/>
      <c r="O11" s="4">
        <v>31270</v>
      </c>
      <c r="P11" s="4">
        <v>6</v>
      </c>
      <c r="Q11" s="4">
        <v>2</v>
      </c>
      <c r="R11" s="4">
        <v>-3</v>
      </c>
      <c r="S11" s="4">
        <v>117.104</v>
      </c>
      <c r="T11" s="4">
        <v>-1.0126999999999999</v>
      </c>
      <c r="U11" s="4">
        <v>0</v>
      </c>
      <c r="V11" s="4">
        <v>2</v>
      </c>
      <c r="W11" s="4">
        <v>3</v>
      </c>
      <c r="X11" s="4">
        <v>3.4246575342465752E-2</v>
      </c>
      <c r="Y11" s="4">
        <v>3.7449312440038371E-3</v>
      </c>
      <c r="Z11" s="4">
        <v>2</v>
      </c>
      <c r="AA11" s="4">
        <v>1</v>
      </c>
      <c r="AB11" s="4">
        <v>1</v>
      </c>
      <c r="AC11" s="5">
        <v>124</v>
      </c>
      <c r="AD11" s="5">
        <v>8.9242000000000008</v>
      </c>
      <c r="AE11" s="5">
        <v>7.4328000000000003</v>
      </c>
      <c r="AF11" s="5">
        <v>61.663344880773217</v>
      </c>
      <c r="AG11" s="5">
        <v>49.546197038327911</v>
      </c>
      <c r="AH11" s="5">
        <v>22.246423622443071</v>
      </c>
      <c r="AI11" s="5">
        <v>2.682109329960221</v>
      </c>
      <c r="AJ11" s="5">
        <v>25.876523669046499</v>
      </c>
      <c r="AK11" s="5">
        <v>0.112277375786956</v>
      </c>
      <c r="AL11" s="33">
        <v>6</v>
      </c>
      <c r="AM11" s="33">
        <v>6</v>
      </c>
      <c r="AN11" s="33">
        <v>4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615D-6EF6-4BC1-8E0A-6E5499658F46}">
  <dimension ref="A1:AO11"/>
  <sheetViews>
    <sheetView topLeftCell="O1" workbookViewId="0">
      <selection activeCell="AJ2" sqref="AJ2:AL11"/>
    </sheetView>
  </sheetViews>
  <sheetFormatPr defaultRowHeight="15" x14ac:dyDescent="0.25"/>
  <cols>
    <col min="4" max="5" width="13.85546875" customWidth="1"/>
    <col min="7" max="7" width="7.42578125" customWidth="1"/>
    <col min="14" max="14" width="9.140625" style="31"/>
  </cols>
  <sheetData>
    <row r="1" spans="1:41" s="25" customFormat="1" x14ac:dyDescent="0.25">
      <c r="A1" s="25" t="s">
        <v>303</v>
      </c>
      <c r="B1" s="32" t="s">
        <v>304</v>
      </c>
      <c r="C1" s="32" t="s">
        <v>2</v>
      </c>
      <c r="D1" s="32" t="s">
        <v>6</v>
      </c>
      <c r="E1" s="32" t="s">
        <v>8</v>
      </c>
      <c r="F1" s="32" t="s">
        <v>4</v>
      </c>
      <c r="G1" s="32" t="s">
        <v>305</v>
      </c>
      <c r="H1" s="32" t="s">
        <v>19</v>
      </c>
      <c r="I1" s="32" t="s">
        <v>306</v>
      </c>
      <c r="J1" s="32" t="s">
        <v>307</v>
      </c>
      <c r="K1" s="32" t="s">
        <v>308</v>
      </c>
      <c r="L1" s="32" t="s">
        <v>5</v>
      </c>
      <c r="M1" s="32" t="s">
        <v>309</v>
      </c>
      <c r="N1" s="32" t="s">
        <v>135</v>
      </c>
      <c r="O1" s="32" t="s">
        <v>21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1" t="s">
        <v>36</v>
      </c>
      <c r="AB1" s="1" t="s">
        <v>37</v>
      </c>
      <c r="AC1" s="29" t="s">
        <v>322</v>
      </c>
      <c r="AD1" s="28" t="s">
        <v>313</v>
      </c>
      <c r="AE1" s="28" t="s">
        <v>314</v>
      </c>
      <c r="AF1" s="28" t="s">
        <v>315</v>
      </c>
      <c r="AG1" s="28" t="s">
        <v>316</v>
      </c>
      <c r="AH1" s="28" t="s">
        <v>317</v>
      </c>
      <c r="AI1" s="28" t="s">
        <v>318</v>
      </c>
      <c r="AJ1" s="28" t="s">
        <v>319</v>
      </c>
      <c r="AK1" s="25" t="s">
        <v>320</v>
      </c>
      <c r="AL1" s="25" t="s">
        <v>321</v>
      </c>
    </row>
    <row r="2" spans="1:41" x14ac:dyDescent="0.25">
      <c r="A2">
        <v>0</v>
      </c>
      <c r="B2" s="4" t="s">
        <v>40</v>
      </c>
      <c r="C2" s="4" t="s">
        <v>50</v>
      </c>
      <c r="D2" s="5">
        <v>3.3333330000000001E-2</v>
      </c>
      <c r="E2" s="5">
        <v>1.5999999999999999E-6</v>
      </c>
      <c r="F2" s="4" t="s">
        <v>41</v>
      </c>
      <c r="G2" s="4" t="s">
        <v>39</v>
      </c>
      <c r="H2" s="4" t="s">
        <v>49</v>
      </c>
      <c r="I2" s="4">
        <v>542</v>
      </c>
      <c r="K2" s="4" t="s">
        <v>45</v>
      </c>
      <c r="L2" s="4" t="s">
        <v>42</v>
      </c>
      <c r="N2"/>
      <c r="O2" s="4">
        <v>37067</v>
      </c>
      <c r="P2" s="4">
        <v>2</v>
      </c>
      <c r="Q2" s="4">
        <v>0</v>
      </c>
      <c r="R2" s="4">
        <v>-2</v>
      </c>
      <c r="S2" s="4">
        <v>318.50100000000009</v>
      </c>
      <c r="T2" s="4">
        <v>4.5952000000000046</v>
      </c>
      <c r="U2" s="4">
        <v>4</v>
      </c>
      <c r="V2" s="4">
        <v>1</v>
      </c>
      <c r="W2" s="4">
        <v>2</v>
      </c>
      <c r="X2" s="4">
        <v>1.238390092879257E-2</v>
      </c>
      <c r="Y2" s="4">
        <v>8.5925756063344773E-3</v>
      </c>
      <c r="Z2" s="4">
        <v>1</v>
      </c>
      <c r="AA2" s="4">
        <v>1</v>
      </c>
      <c r="AB2" s="4">
        <v>0</v>
      </c>
      <c r="AC2" s="5">
        <v>1.5999999999999999E-3</v>
      </c>
      <c r="AD2" s="5">
        <v>6.0786308369850303E-4</v>
      </c>
      <c r="AE2" s="5">
        <v>7.0960183281703444E-4</v>
      </c>
      <c r="AF2" s="5">
        <v>1.0620717523298229E-2</v>
      </c>
      <c r="AG2" s="5">
        <v>1.1286144201316821E-2</v>
      </c>
      <c r="AH2" s="5">
        <v>1.22493944334604E-2</v>
      </c>
      <c r="AI2" s="5">
        <v>1.2801938142718201E-2</v>
      </c>
      <c r="AJ2" s="34">
        <v>0</v>
      </c>
      <c r="AK2" s="34">
        <v>0</v>
      </c>
      <c r="AL2" s="34">
        <v>0</v>
      </c>
      <c r="AM2" s="2"/>
      <c r="AN2" s="2"/>
      <c r="AO2" s="2"/>
    </row>
    <row r="3" spans="1:41" x14ac:dyDescent="0.25">
      <c r="A3">
        <v>1</v>
      </c>
      <c r="B3" s="4" t="s">
        <v>53</v>
      </c>
      <c r="C3" s="4" t="s">
        <v>59</v>
      </c>
      <c r="D3" s="5">
        <v>0.26500000000000001</v>
      </c>
      <c r="E3" s="5">
        <v>1.7399999999999989E-5</v>
      </c>
      <c r="F3" s="4" t="s">
        <v>54</v>
      </c>
      <c r="G3" s="4" t="s">
        <v>52</v>
      </c>
      <c r="H3" s="4" t="s">
        <v>58</v>
      </c>
      <c r="I3" s="4">
        <v>3403</v>
      </c>
      <c r="K3" s="4" t="s">
        <v>56</v>
      </c>
      <c r="L3" s="4" t="s">
        <v>55</v>
      </c>
      <c r="N3"/>
      <c r="O3" s="4">
        <v>37874</v>
      </c>
      <c r="P3" s="4">
        <v>3</v>
      </c>
      <c r="Q3" s="4">
        <v>1</v>
      </c>
      <c r="R3" s="4">
        <v>0</v>
      </c>
      <c r="S3" s="4">
        <v>363.22300000000001</v>
      </c>
      <c r="T3" s="4">
        <v>-2.327030000000001</v>
      </c>
      <c r="U3" s="4">
        <v>3</v>
      </c>
      <c r="V3" s="4">
        <v>7</v>
      </c>
      <c r="W3" s="4">
        <v>10</v>
      </c>
      <c r="X3" s="4">
        <v>2.8735632183908049E-2</v>
      </c>
      <c r="Y3" s="4">
        <v>9.5902994138459107E-3</v>
      </c>
      <c r="Z3" s="4">
        <v>2</v>
      </c>
      <c r="AA3" s="4">
        <v>0</v>
      </c>
      <c r="AB3" s="4">
        <v>1</v>
      </c>
      <c r="AC3" s="5">
        <v>1.7399999999999988E-2</v>
      </c>
      <c r="AD3" s="5">
        <v>2.0093781450184263E-2</v>
      </c>
      <c r="AE3" s="5">
        <v>1.8158910823029766E-2</v>
      </c>
      <c r="AF3" s="5">
        <v>3.2885887809930077E-2</v>
      </c>
      <c r="AG3" s="5">
        <v>3.6440122019899858E-2</v>
      </c>
      <c r="AH3" s="5">
        <v>4.0063674448720402E-2</v>
      </c>
      <c r="AI3" s="5">
        <v>4.5227222597880597E-2</v>
      </c>
      <c r="AJ3" s="34">
        <v>1</v>
      </c>
      <c r="AK3" s="34">
        <v>1</v>
      </c>
      <c r="AL3" s="35">
        <v>1</v>
      </c>
      <c r="AM3" s="2"/>
      <c r="AN3" s="2"/>
      <c r="AO3" s="2"/>
    </row>
    <row r="4" spans="1:41" x14ac:dyDescent="0.25">
      <c r="A4">
        <v>2</v>
      </c>
      <c r="B4" s="4" t="s">
        <v>61</v>
      </c>
      <c r="C4" s="4" t="s">
        <v>67</v>
      </c>
      <c r="D4" s="5">
        <v>5.4772255750516599E-2</v>
      </c>
      <c r="E4" s="5">
        <v>4.5000000000000031E-4</v>
      </c>
      <c r="F4" s="4" t="s">
        <v>62</v>
      </c>
      <c r="G4" s="4" t="s">
        <v>60</v>
      </c>
      <c r="H4" s="4" t="s">
        <v>66</v>
      </c>
      <c r="I4" s="4">
        <v>794</v>
      </c>
      <c r="K4" s="4" t="s">
        <v>64</v>
      </c>
      <c r="L4" s="4" t="s">
        <v>63</v>
      </c>
      <c r="N4"/>
      <c r="O4" s="4">
        <v>56145</v>
      </c>
      <c r="P4" s="4">
        <v>2</v>
      </c>
      <c r="Q4" s="4">
        <v>2</v>
      </c>
      <c r="R4" s="4">
        <v>-1</v>
      </c>
      <c r="S4" s="4">
        <v>102.089</v>
      </c>
      <c r="T4" s="4">
        <v>5.0099999999999978E-2</v>
      </c>
      <c r="U4" s="4">
        <v>0</v>
      </c>
      <c r="V4" s="4">
        <v>1</v>
      </c>
      <c r="W4" s="4">
        <v>2</v>
      </c>
      <c r="X4" s="4">
        <v>1.901140684410646E-2</v>
      </c>
      <c r="Y4" s="4">
        <v>1.818309733725176E-3</v>
      </c>
      <c r="Z4" s="4">
        <v>2</v>
      </c>
      <c r="AA4" s="4">
        <v>1</v>
      </c>
      <c r="AB4" s="4">
        <v>1</v>
      </c>
      <c r="AC4" s="5">
        <v>0.45000000000000029</v>
      </c>
      <c r="AD4" s="5">
        <v>0.34739539872222663</v>
      </c>
      <c r="AE4" s="5">
        <v>0.30323721445825708</v>
      </c>
      <c r="AF4" s="5">
        <v>4.4201865910980263E-2</v>
      </c>
      <c r="AG4" s="5">
        <v>4.0198450858398627E-2</v>
      </c>
      <c r="AH4" s="5">
        <v>1.6104247718281901</v>
      </c>
      <c r="AI4" s="5">
        <v>2.24848794744742</v>
      </c>
      <c r="AJ4" s="34">
        <v>2</v>
      </c>
      <c r="AK4" s="34">
        <v>2</v>
      </c>
      <c r="AL4" s="34">
        <v>5</v>
      </c>
      <c r="AM4" s="2"/>
      <c r="AN4" s="2"/>
      <c r="AO4" s="2"/>
    </row>
    <row r="5" spans="1:41" x14ac:dyDescent="0.25">
      <c r="A5">
        <v>3</v>
      </c>
      <c r="B5" s="4" t="s">
        <v>69</v>
      </c>
      <c r="C5" s="4" t="s">
        <v>75</v>
      </c>
      <c r="D5" s="5">
        <v>8.4899999999999984</v>
      </c>
      <c r="E5" s="5">
        <v>6.5000000000000062E-5</v>
      </c>
      <c r="F5" s="4" t="s">
        <v>70</v>
      </c>
      <c r="G5" s="4" t="s">
        <v>68</v>
      </c>
      <c r="H5" s="4" t="s">
        <v>74</v>
      </c>
      <c r="I5" s="4">
        <v>3136</v>
      </c>
      <c r="K5" s="4" t="s">
        <v>72</v>
      </c>
      <c r="L5" s="4" t="s">
        <v>71</v>
      </c>
      <c r="N5"/>
      <c r="O5" s="4">
        <v>36230</v>
      </c>
      <c r="P5" s="4">
        <v>4</v>
      </c>
      <c r="Q5" s="4">
        <v>1</v>
      </c>
      <c r="R5" s="4">
        <v>-2</v>
      </c>
      <c r="S5" s="4">
        <v>743.40900000000056</v>
      </c>
      <c r="T5" s="4">
        <v>-2.746429999999997</v>
      </c>
      <c r="U5" s="4">
        <v>5</v>
      </c>
      <c r="V5" s="4">
        <v>9</v>
      </c>
      <c r="W5" s="4">
        <v>19</v>
      </c>
      <c r="X5" s="4">
        <v>2.8985507246376808E-2</v>
      </c>
      <c r="Y5" s="4">
        <v>2.051915539608061E-2</v>
      </c>
      <c r="Z5" s="4">
        <v>2</v>
      </c>
      <c r="AA5" s="4">
        <v>1</v>
      </c>
      <c r="AB5" s="4">
        <v>0</v>
      </c>
      <c r="AC5" s="5">
        <v>6.5000000000000058E-2</v>
      </c>
      <c r="AD5" s="5">
        <v>7.4934068881063756E-2</v>
      </c>
      <c r="AE5" s="5">
        <v>9.6259147353176672E-2</v>
      </c>
      <c r="AF5" s="5">
        <v>6.5654002293221284E-2</v>
      </c>
      <c r="AG5" s="5">
        <v>7.0036905127013868E-2</v>
      </c>
      <c r="AH5" s="5">
        <v>7.0544909567835296E-2</v>
      </c>
      <c r="AI5" s="5">
        <v>7.2468260002236995E-2</v>
      </c>
      <c r="AJ5" s="34">
        <v>1</v>
      </c>
      <c r="AK5" s="34">
        <v>1</v>
      </c>
      <c r="AL5" s="34">
        <v>1</v>
      </c>
      <c r="AM5" s="2"/>
      <c r="AN5" s="2"/>
      <c r="AO5" s="2"/>
    </row>
    <row r="6" spans="1:41" x14ac:dyDescent="0.25">
      <c r="A6">
        <v>4</v>
      </c>
      <c r="B6" s="4" t="s">
        <v>77</v>
      </c>
      <c r="C6" s="4" t="s">
        <v>83</v>
      </c>
      <c r="D6" s="5">
        <v>87</v>
      </c>
      <c r="E6" s="5">
        <v>6.7823299831252773E-6</v>
      </c>
      <c r="F6" s="4" t="s">
        <v>78</v>
      </c>
      <c r="G6" s="4" t="s">
        <v>76</v>
      </c>
      <c r="H6" s="4" t="s">
        <v>82</v>
      </c>
      <c r="I6" s="4">
        <v>1361</v>
      </c>
      <c r="K6" s="4" t="s">
        <v>80</v>
      </c>
      <c r="L6" s="4" t="s">
        <v>79</v>
      </c>
      <c r="N6"/>
      <c r="O6" s="4">
        <v>97899</v>
      </c>
      <c r="P6" s="4">
        <v>5</v>
      </c>
      <c r="Q6" s="4">
        <v>1</v>
      </c>
      <c r="R6" s="4">
        <v>-2</v>
      </c>
      <c r="S6" s="4">
        <v>173.941</v>
      </c>
      <c r="T6" s="4">
        <v>-3.3395999999999999</v>
      </c>
      <c r="U6" s="4">
        <v>0</v>
      </c>
      <c r="V6" s="4">
        <v>0</v>
      </c>
      <c r="W6" s="4">
        <v>7</v>
      </c>
      <c r="X6" s="4">
        <v>1.1299435028248589E-2</v>
      </c>
      <c r="Y6" s="4">
        <v>1.776739292536185E-3</v>
      </c>
      <c r="Z6" s="4">
        <v>2</v>
      </c>
      <c r="AA6" s="4">
        <v>1</v>
      </c>
      <c r="AB6" s="4">
        <v>1</v>
      </c>
      <c r="AC6" s="5">
        <v>6.7823299831252775E-3</v>
      </c>
      <c r="AD6" s="5">
        <v>0.13084463858926126</v>
      </c>
      <c r="AE6" s="5">
        <v>0.13547464666926329</v>
      </c>
      <c r="AF6" s="5">
        <v>0.24986621965831379</v>
      </c>
      <c r="AG6" s="5">
        <v>0.28498798846102158</v>
      </c>
      <c r="AH6" s="5">
        <v>0.13256478713394099</v>
      </c>
      <c r="AI6" s="5">
        <v>0.14438039588691501</v>
      </c>
      <c r="AJ6" s="34">
        <v>1</v>
      </c>
      <c r="AK6" s="34">
        <v>1</v>
      </c>
      <c r="AL6" s="35">
        <v>1</v>
      </c>
      <c r="AM6" s="2"/>
      <c r="AN6" s="2"/>
      <c r="AO6" s="2"/>
    </row>
    <row r="7" spans="1:41" x14ac:dyDescent="0.25">
      <c r="A7">
        <v>5</v>
      </c>
      <c r="B7" s="4" t="s">
        <v>85</v>
      </c>
      <c r="C7" s="4" t="s">
        <v>91</v>
      </c>
      <c r="D7" s="5">
        <v>72</v>
      </c>
      <c r="E7" s="5">
        <v>1.8633627874061539E-5</v>
      </c>
      <c r="F7" s="4" t="s">
        <v>86</v>
      </c>
      <c r="G7" s="4" t="s">
        <v>84</v>
      </c>
      <c r="H7" s="4" t="s">
        <v>90</v>
      </c>
      <c r="I7" s="4">
        <v>2069</v>
      </c>
      <c r="K7" s="4" t="s">
        <v>88</v>
      </c>
      <c r="L7" s="4" t="s">
        <v>87</v>
      </c>
      <c r="N7"/>
      <c r="O7" s="4">
        <v>46816</v>
      </c>
      <c r="P7" s="4">
        <v>5</v>
      </c>
      <c r="Q7" s="4">
        <v>1</v>
      </c>
      <c r="R7" s="4">
        <v>-2</v>
      </c>
      <c r="S7" s="4">
        <v>54.938000000000002</v>
      </c>
      <c r="T7" s="4">
        <v>-2.5000000000000001E-3</v>
      </c>
      <c r="U7" s="4">
        <v>0</v>
      </c>
      <c r="V7" s="4">
        <v>0</v>
      </c>
      <c r="W7" s="4">
        <v>0</v>
      </c>
      <c r="X7" s="4">
        <v>2.2883295194508008E-2</v>
      </c>
      <c r="Y7" s="4">
        <v>1.173487696514012E-3</v>
      </c>
      <c r="Z7" s="4">
        <v>2</v>
      </c>
      <c r="AA7" s="4">
        <v>1</v>
      </c>
      <c r="AB7" s="4">
        <v>1</v>
      </c>
      <c r="AC7" s="5">
        <v>1.8633627874061538E-2</v>
      </c>
      <c r="AD7" s="5">
        <v>2.9160804159953663E-3</v>
      </c>
      <c r="AE7" s="5">
        <v>3.1044576515476823E-3</v>
      </c>
      <c r="AF7" s="5">
        <v>0.1219659615049318</v>
      </c>
      <c r="AG7" s="5">
        <v>0.108636300250845</v>
      </c>
      <c r="AH7" s="5">
        <v>1.6299755551445302E-2</v>
      </c>
      <c r="AI7" s="5">
        <v>2.7718776543238101E-2</v>
      </c>
      <c r="AJ7" s="34">
        <v>1</v>
      </c>
      <c r="AK7" s="34">
        <v>1</v>
      </c>
      <c r="AL7" s="35">
        <v>1</v>
      </c>
      <c r="AM7" s="2"/>
      <c r="AN7" s="2"/>
      <c r="AO7" s="2"/>
    </row>
    <row r="8" spans="1:41" x14ac:dyDescent="0.25">
      <c r="A8">
        <v>6</v>
      </c>
      <c r="B8" s="4" t="s">
        <v>93</v>
      </c>
      <c r="C8" s="4" t="s">
        <v>99</v>
      </c>
      <c r="D8" s="5">
        <v>391.99999999999989</v>
      </c>
      <c r="E8" s="5">
        <v>3.3807999763341618E-3</v>
      </c>
      <c r="F8" s="4" t="s">
        <v>94</v>
      </c>
      <c r="G8" s="4" t="s">
        <v>92</v>
      </c>
      <c r="H8" s="4" t="s">
        <v>98</v>
      </c>
      <c r="I8" s="4">
        <v>1023</v>
      </c>
      <c r="K8" s="4" t="s">
        <v>96</v>
      </c>
      <c r="L8" s="4" t="s">
        <v>95</v>
      </c>
      <c r="N8"/>
      <c r="O8" s="4">
        <v>53002</v>
      </c>
      <c r="P8" s="4">
        <v>6</v>
      </c>
      <c r="Q8" s="4">
        <v>3</v>
      </c>
      <c r="R8" s="4">
        <v>-2</v>
      </c>
      <c r="S8" s="4">
        <v>205.34800000000001</v>
      </c>
      <c r="T8" s="4">
        <v>3.2357700000000018</v>
      </c>
      <c r="U8" s="4">
        <v>1</v>
      </c>
      <c r="V8" s="4">
        <v>2</v>
      </c>
      <c r="W8" s="4">
        <v>3</v>
      </c>
      <c r="X8" s="4">
        <v>0.01</v>
      </c>
      <c r="Y8" s="4">
        <v>3.8743443643636092E-3</v>
      </c>
      <c r="Z8" s="4">
        <v>1</v>
      </c>
      <c r="AA8" s="4">
        <v>1</v>
      </c>
      <c r="AB8" s="4">
        <v>0</v>
      </c>
      <c r="AC8" s="5">
        <v>3.3807999763341616</v>
      </c>
      <c r="AD8" s="5">
        <v>1.6754693103383043</v>
      </c>
      <c r="AE8" s="5">
        <v>1.7582482842692393</v>
      </c>
      <c r="AF8" s="5">
        <v>0.58964727865814637</v>
      </c>
      <c r="AG8" s="5">
        <v>0.56944329660894333</v>
      </c>
      <c r="AH8" s="5">
        <v>0.38662457227837399</v>
      </c>
      <c r="AI8" s="5">
        <v>0.40177377379634799</v>
      </c>
      <c r="AJ8" s="34">
        <v>3</v>
      </c>
      <c r="AK8" s="34">
        <v>3</v>
      </c>
      <c r="AL8" s="34">
        <v>3</v>
      </c>
      <c r="AM8" s="2"/>
      <c r="AN8" s="2"/>
      <c r="AO8" s="2"/>
    </row>
    <row r="9" spans="1:41" x14ac:dyDescent="0.25">
      <c r="A9">
        <v>7</v>
      </c>
      <c r="B9" s="4" t="s">
        <v>101</v>
      </c>
      <c r="C9" s="4" t="s">
        <v>105</v>
      </c>
      <c r="D9" s="5">
        <v>6.8333330000000012E-2</v>
      </c>
      <c r="E9" s="5">
        <v>3.9999999999999982E-7</v>
      </c>
      <c r="F9" s="4" t="s">
        <v>102</v>
      </c>
      <c r="G9" s="4" t="s">
        <v>100</v>
      </c>
      <c r="H9" s="4" t="s">
        <v>49</v>
      </c>
      <c r="I9" s="4">
        <v>244</v>
      </c>
      <c r="K9" s="4" t="s">
        <v>104</v>
      </c>
      <c r="L9" s="4" t="s">
        <v>103</v>
      </c>
      <c r="N9"/>
      <c r="O9" s="4">
        <v>36877</v>
      </c>
      <c r="P9" s="4">
        <v>2</v>
      </c>
      <c r="Q9" s="4">
        <v>0</v>
      </c>
      <c r="R9" s="4">
        <v>-2</v>
      </c>
      <c r="S9" s="4">
        <v>288.43099999999998</v>
      </c>
      <c r="T9" s="4">
        <v>3.879200000000004</v>
      </c>
      <c r="U9" s="4">
        <v>4</v>
      </c>
      <c r="V9" s="4">
        <v>1</v>
      </c>
      <c r="W9" s="4">
        <v>2</v>
      </c>
      <c r="X9" s="4">
        <v>1.238390092879257E-2</v>
      </c>
      <c r="Y9" s="4">
        <v>7.8214334137809479E-3</v>
      </c>
      <c r="Z9" s="4">
        <v>1</v>
      </c>
      <c r="AA9" s="4">
        <v>1</v>
      </c>
      <c r="AB9" s="4">
        <v>0</v>
      </c>
      <c r="AC9" s="5">
        <v>3.999999999999998E-4</v>
      </c>
      <c r="AD9" s="5">
        <v>5.9516115139641795E-4</v>
      </c>
      <c r="AE9" s="5">
        <v>7.0407473189206904E-4</v>
      </c>
      <c r="AF9" s="5">
        <v>9.0391634125621487E-3</v>
      </c>
      <c r="AG9" s="5">
        <v>1.038977275063427E-2</v>
      </c>
      <c r="AH9" s="5">
        <v>1.07372092896048E-3</v>
      </c>
      <c r="AI9" s="5">
        <v>1.0182092945759699E-3</v>
      </c>
      <c r="AJ9" s="34">
        <v>0</v>
      </c>
      <c r="AK9" s="34">
        <v>0</v>
      </c>
      <c r="AL9" s="34">
        <v>0</v>
      </c>
      <c r="AM9" s="2"/>
      <c r="AN9" s="2"/>
      <c r="AO9" s="2"/>
    </row>
    <row r="10" spans="1:41" x14ac:dyDescent="0.25">
      <c r="A10">
        <v>8</v>
      </c>
      <c r="B10" s="4" t="s">
        <v>107</v>
      </c>
      <c r="C10" s="4" t="s">
        <v>111</v>
      </c>
      <c r="D10" s="5">
        <v>7.0000000000000021E-2</v>
      </c>
      <c r="E10" s="5">
        <v>1.7E-5</v>
      </c>
      <c r="F10" s="4" t="s">
        <v>108</v>
      </c>
      <c r="G10" s="4" t="s">
        <v>106</v>
      </c>
      <c r="H10" s="4" t="s">
        <v>49</v>
      </c>
      <c r="I10" s="4">
        <v>561</v>
      </c>
      <c r="K10" s="4" t="s">
        <v>110</v>
      </c>
      <c r="L10" s="4" t="s">
        <v>109</v>
      </c>
      <c r="N10"/>
      <c r="O10" s="4">
        <v>37014</v>
      </c>
      <c r="P10" s="4">
        <v>2</v>
      </c>
      <c r="Q10" s="4">
        <v>1</v>
      </c>
      <c r="R10" s="4">
        <v>-2</v>
      </c>
      <c r="S10" s="4">
        <v>292.46300000000002</v>
      </c>
      <c r="T10" s="4">
        <v>3.7509000000000019</v>
      </c>
      <c r="U10" s="4">
        <v>4</v>
      </c>
      <c r="V10" s="4">
        <v>2</v>
      </c>
      <c r="W10" s="4">
        <v>2</v>
      </c>
      <c r="X10" s="4">
        <v>1.238390092879257E-2</v>
      </c>
      <c r="Y10" s="4">
        <v>7.9014156805533049E-3</v>
      </c>
      <c r="Z10" s="4">
        <v>1</v>
      </c>
      <c r="AA10" s="4">
        <v>1</v>
      </c>
      <c r="AB10" s="4">
        <v>0</v>
      </c>
      <c r="AC10" s="5">
        <v>1.7000000000000001E-2</v>
      </c>
      <c r="AD10" s="5">
        <v>1.3717896330337735E-2</v>
      </c>
      <c r="AE10" s="5">
        <v>1.2698935959953894E-2</v>
      </c>
      <c r="AF10" s="5">
        <v>3.8323194714766487E-2</v>
      </c>
      <c r="AG10" s="5">
        <v>3.7747763845228363E-2</v>
      </c>
      <c r="AH10" s="5">
        <v>2.5881801613565399E-2</v>
      </c>
      <c r="AI10" s="5">
        <v>2.7843401812426401E-2</v>
      </c>
      <c r="AJ10" s="34">
        <v>1</v>
      </c>
      <c r="AK10" s="34">
        <v>1</v>
      </c>
      <c r="AL10" s="34">
        <v>1</v>
      </c>
      <c r="AM10" s="2"/>
      <c r="AN10" s="2"/>
      <c r="AO10" s="2"/>
    </row>
    <row r="11" spans="1:41" x14ac:dyDescent="0.25">
      <c r="A11">
        <v>9</v>
      </c>
      <c r="B11" s="4" t="s">
        <v>113</v>
      </c>
      <c r="C11" s="4" t="s">
        <v>119</v>
      </c>
      <c r="D11" s="5">
        <v>124</v>
      </c>
      <c r="E11" s="5">
        <v>1.5243435318369039E-4</v>
      </c>
      <c r="F11" s="4" t="s">
        <v>114</v>
      </c>
      <c r="G11" s="4" t="s">
        <v>112</v>
      </c>
      <c r="H11" s="4" t="s">
        <v>118</v>
      </c>
      <c r="I11" s="4">
        <v>2130</v>
      </c>
      <c r="K11" s="4" t="s">
        <v>116</v>
      </c>
      <c r="L11" s="4" t="s">
        <v>115</v>
      </c>
      <c r="N11"/>
      <c r="O11" s="4">
        <v>31270</v>
      </c>
      <c r="P11" s="4">
        <v>6</v>
      </c>
      <c r="Q11" s="4">
        <v>2</v>
      </c>
      <c r="R11" s="4">
        <v>-3</v>
      </c>
      <c r="S11" s="4">
        <v>117.104</v>
      </c>
      <c r="T11" s="4">
        <v>-1.0126999999999999</v>
      </c>
      <c r="U11" s="4">
        <v>0</v>
      </c>
      <c r="V11" s="4">
        <v>2</v>
      </c>
      <c r="W11" s="4">
        <v>3</v>
      </c>
      <c r="X11" s="4">
        <v>3.4246575342465752E-2</v>
      </c>
      <c r="Y11" s="4">
        <v>3.7449312440038371E-3</v>
      </c>
      <c r="Z11" s="4">
        <v>2</v>
      </c>
      <c r="AA11" s="4">
        <v>1</v>
      </c>
      <c r="AB11" s="4">
        <v>1</v>
      </c>
      <c r="AC11" s="5">
        <v>0.15243435318369039</v>
      </c>
      <c r="AD11" s="5">
        <v>0.19094164364819319</v>
      </c>
      <c r="AE11" s="5">
        <v>0.20883953246663023</v>
      </c>
      <c r="AF11" s="5">
        <v>0.19765930963268299</v>
      </c>
      <c r="AG11" s="5">
        <v>0.53000761502703231</v>
      </c>
      <c r="AH11" s="5">
        <v>0.15721415967070801</v>
      </c>
      <c r="AI11" s="5">
        <v>1.3636810339518799</v>
      </c>
      <c r="AJ11" s="34">
        <v>2</v>
      </c>
      <c r="AK11" s="34">
        <v>2</v>
      </c>
      <c r="AL11" s="34">
        <v>5</v>
      </c>
      <c r="AM11" s="2"/>
      <c r="AN11" s="2"/>
      <c r="AO11" s="2"/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908B-D177-4B9D-84CB-7B50009449EC}">
  <dimension ref="A1:AK11"/>
  <sheetViews>
    <sheetView workbookViewId="0">
      <selection activeCell="L32" sqref="L32"/>
    </sheetView>
  </sheetViews>
  <sheetFormatPr defaultRowHeight="15" x14ac:dyDescent="0.25"/>
  <sheetData>
    <row r="1" spans="1:37" x14ac:dyDescent="0.25">
      <c r="A1" s="32" t="s">
        <v>120</v>
      </c>
      <c r="B1" s="32" t="s">
        <v>304</v>
      </c>
      <c r="C1" s="32" t="s">
        <v>2</v>
      </c>
      <c r="D1" s="32" t="s">
        <v>6</v>
      </c>
      <c r="E1" s="32" t="s">
        <v>8</v>
      </c>
      <c r="F1" s="32" t="s">
        <v>4</v>
      </c>
      <c r="G1" s="32" t="s">
        <v>305</v>
      </c>
      <c r="H1" s="32" t="s">
        <v>19</v>
      </c>
      <c r="I1" s="32" t="s">
        <v>306</v>
      </c>
      <c r="J1" s="32" t="s">
        <v>307</v>
      </c>
      <c r="K1" s="32" t="s">
        <v>308</v>
      </c>
      <c r="L1" s="32" t="s">
        <v>5</v>
      </c>
      <c r="M1" s="32" t="s">
        <v>309</v>
      </c>
      <c r="N1" s="32" t="s">
        <v>135</v>
      </c>
      <c r="O1" s="32" t="s">
        <v>21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1" t="s">
        <v>36</v>
      </c>
      <c r="AB1" s="1" t="s">
        <v>37</v>
      </c>
      <c r="AC1" s="3" t="s">
        <v>293</v>
      </c>
      <c r="AD1" s="3" t="s">
        <v>294</v>
      </c>
      <c r="AE1" s="3" t="s">
        <v>297</v>
      </c>
      <c r="AF1" s="3" t="s">
        <v>302</v>
      </c>
      <c r="AG1" s="1" t="s">
        <v>7</v>
      </c>
      <c r="AH1" s="11" t="s">
        <v>295</v>
      </c>
      <c r="AI1" s="11" t="s">
        <v>296</v>
      </c>
      <c r="AJ1" s="11" t="s">
        <v>299</v>
      </c>
      <c r="AK1" s="11" t="s">
        <v>301</v>
      </c>
    </row>
    <row r="2" spans="1:37" x14ac:dyDescent="0.25">
      <c r="A2">
        <v>0</v>
      </c>
      <c r="B2" s="4" t="s">
        <v>40</v>
      </c>
      <c r="C2" s="4" t="s">
        <v>50</v>
      </c>
      <c r="D2" s="5">
        <v>3.3333330000000001E-2</v>
      </c>
      <c r="E2" s="5">
        <v>1.5999999999999999E-6</v>
      </c>
      <c r="F2" s="4" t="s">
        <v>41</v>
      </c>
      <c r="G2" s="4" t="s">
        <v>39</v>
      </c>
      <c r="H2" s="4" t="s">
        <v>49</v>
      </c>
      <c r="I2" s="4">
        <v>542</v>
      </c>
      <c r="K2" s="4" t="s">
        <v>45</v>
      </c>
      <c r="L2" s="4" t="s">
        <v>42</v>
      </c>
      <c r="O2" s="4">
        <v>37067</v>
      </c>
      <c r="P2" s="4">
        <v>2</v>
      </c>
      <c r="Q2" s="4">
        <v>0</v>
      </c>
      <c r="R2" s="4">
        <v>-2</v>
      </c>
      <c r="S2" s="4">
        <v>318.50100000000009</v>
      </c>
      <c r="T2" s="4">
        <v>4.5952000000000046</v>
      </c>
      <c r="U2" s="4">
        <v>4</v>
      </c>
      <c r="V2" s="4">
        <v>1</v>
      </c>
      <c r="W2" s="4">
        <v>2</v>
      </c>
      <c r="X2" s="4">
        <v>1.238390092879257E-2</v>
      </c>
      <c r="Y2" s="4">
        <v>8.5925756063344773E-3</v>
      </c>
      <c r="Z2" s="4">
        <v>1</v>
      </c>
      <c r="AA2" s="4">
        <v>1</v>
      </c>
      <c r="AB2" s="4">
        <v>0</v>
      </c>
      <c r="AC2" s="33">
        <v>2</v>
      </c>
      <c r="AD2" s="33">
        <v>2</v>
      </c>
      <c r="AE2" s="33">
        <v>0</v>
      </c>
      <c r="AF2" s="8">
        <v>1</v>
      </c>
      <c r="AG2" s="4">
        <v>0</v>
      </c>
      <c r="AH2" s="34">
        <v>0</v>
      </c>
      <c r="AI2" s="34">
        <v>0</v>
      </c>
      <c r="AJ2" s="34">
        <v>0</v>
      </c>
      <c r="AK2" s="13">
        <v>0</v>
      </c>
    </row>
    <row r="3" spans="1:37" x14ac:dyDescent="0.25">
      <c r="A3">
        <v>1</v>
      </c>
      <c r="B3" s="4" t="s">
        <v>53</v>
      </c>
      <c r="C3" s="4" t="s">
        <v>59</v>
      </c>
      <c r="D3" s="5">
        <v>0.26500000000000001</v>
      </c>
      <c r="E3" s="5">
        <v>1.7399999999999989E-5</v>
      </c>
      <c r="F3" s="4" t="s">
        <v>54</v>
      </c>
      <c r="G3" s="4" t="s">
        <v>52</v>
      </c>
      <c r="H3" s="4" t="s">
        <v>58</v>
      </c>
      <c r="I3" s="4">
        <v>3403</v>
      </c>
      <c r="K3" s="4" t="s">
        <v>56</v>
      </c>
      <c r="L3" s="4" t="s">
        <v>55</v>
      </c>
      <c r="O3" s="4">
        <v>37874</v>
      </c>
      <c r="P3" s="4">
        <v>3</v>
      </c>
      <c r="Q3" s="4">
        <v>1</v>
      </c>
      <c r="R3" s="4">
        <v>0</v>
      </c>
      <c r="S3" s="4">
        <v>363.22300000000001</v>
      </c>
      <c r="T3" s="4">
        <v>-2.327030000000001</v>
      </c>
      <c r="U3" s="4">
        <v>3</v>
      </c>
      <c r="V3" s="4">
        <v>7</v>
      </c>
      <c r="W3" s="4">
        <v>10</v>
      </c>
      <c r="X3" s="4">
        <v>2.8735632183908049E-2</v>
      </c>
      <c r="Y3" s="4">
        <v>9.5902994138459107E-3</v>
      </c>
      <c r="Z3" s="4">
        <v>2</v>
      </c>
      <c r="AA3" s="4">
        <v>0</v>
      </c>
      <c r="AB3" s="4">
        <v>1</v>
      </c>
      <c r="AC3" s="33">
        <v>3</v>
      </c>
      <c r="AD3" s="33">
        <v>3</v>
      </c>
      <c r="AE3" s="33">
        <v>3</v>
      </c>
      <c r="AF3" s="8">
        <v>0</v>
      </c>
      <c r="AG3" s="4">
        <v>0</v>
      </c>
      <c r="AH3" s="34">
        <v>1</v>
      </c>
      <c r="AI3" s="34">
        <v>1</v>
      </c>
      <c r="AJ3" s="35">
        <v>1</v>
      </c>
      <c r="AK3" s="18">
        <v>1</v>
      </c>
    </row>
    <row r="4" spans="1:37" x14ac:dyDescent="0.25">
      <c r="A4">
        <v>2</v>
      </c>
      <c r="B4" s="4" t="s">
        <v>61</v>
      </c>
      <c r="C4" s="4" t="s">
        <v>67</v>
      </c>
      <c r="D4" s="5">
        <v>5.4772255750516599E-2</v>
      </c>
      <c r="E4" s="5">
        <v>4.5000000000000031E-4</v>
      </c>
      <c r="F4" s="4" t="s">
        <v>62</v>
      </c>
      <c r="G4" s="4" t="s">
        <v>60</v>
      </c>
      <c r="H4" s="4" t="s">
        <v>66</v>
      </c>
      <c r="I4" s="4">
        <v>794</v>
      </c>
      <c r="K4" s="4" t="s">
        <v>64</v>
      </c>
      <c r="L4" s="4" t="s">
        <v>63</v>
      </c>
      <c r="O4" s="4">
        <v>56145</v>
      </c>
      <c r="P4" s="4">
        <v>2</v>
      </c>
      <c r="Q4" s="4">
        <v>2</v>
      </c>
      <c r="R4" s="4">
        <v>-1</v>
      </c>
      <c r="S4" s="4">
        <v>102.089</v>
      </c>
      <c r="T4" s="4">
        <v>5.0099999999999978E-2</v>
      </c>
      <c r="U4" s="4">
        <v>0</v>
      </c>
      <c r="V4" s="4">
        <v>1</v>
      </c>
      <c r="W4" s="4">
        <v>2</v>
      </c>
      <c r="X4" s="4">
        <v>1.901140684410646E-2</v>
      </c>
      <c r="Y4" s="4">
        <v>1.818309733725176E-3</v>
      </c>
      <c r="Z4" s="4">
        <v>2</v>
      </c>
      <c r="AA4" s="4">
        <v>1</v>
      </c>
      <c r="AB4" s="4">
        <v>1</v>
      </c>
      <c r="AC4" s="33">
        <v>2</v>
      </c>
      <c r="AD4" s="33">
        <v>5</v>
      </c>
      <c r="AE4" s="33">
        <v>1</v>
      </c>
      <c r="AF4" s="8">
        <v>1</v>
      </c>
      <c r="AG4" s="4">
        <v>0</v>
      </c>
      <c r="AH4" s="34">
        <v>2</v>
      </c>
      <c r="AI4" s="34">
        <v>2</v>
      </c>
      <c r="AJ4" s="34">
        <v>5</v>
      </c>
      <c r="AK4" s="13">
        <v>1</v>
      </c>
    </row>
    <row r="5" spans="1:37" x14ac:dyDescent="0.25">
      <c r="A5">
        <v>3</v>
      </c>
      <c r="B5" s="4" t="s">
        <v>69</v>
      </c>
      <c r="C5" s="4" t="s">
        <v>75</v>
      </c>
      <c r="D5" s="5">
        <v>8.4899999999999984</v>
      </c>
      <c r="E5" s="5">
        <v>6.5000000000000062E-5</v>
      </c>
      <c r="F5" s="4" t="s">
        <v>70</v>
      </c>
      <c r="G5" s="4" t="s">
        <v>68</v>
      </c>
      <c r="H5" s="4" t="s">
        <v>74</v>
      </c>
      <c r="I5" s="4">
        <v>3136</v>
      </c>
      <c r="K5" s="4" t="s">
        <v>72</v>
      </c>
      <c r="L5" s="4" t="s">
        <v>71</v>
      </c>
      <c r="O5" s="4">
        <v>36230</v>
      </c>
      <c r="P5" s="4">
        <v>4</v>
      </c>
      <c r="Q5" s="4">
        <v>1</v>
      </c>
      <c r="R5" s="4">
        <v>-2</v>
      </c>
      <c r="S5" s="4">
        <v>743.40900000000056</v>
      </c>
      <c r="T5" s="4">
        <v>-2.746429999999997</v>
      </c>
      <c r="U5" s="4">
        <v>5</v>
      </c>
      <c r="V5" s="4">
        <v>9</v>
      </c>
      <c r="W5" s="4">
        <v>19</v>
      </c>
      <c r="X5" s="4">
        <v>2.8985507246376808E-2</v>
      </c>
      <c r="Y5" s="4">
        <v>2.051915539608061E-2</v>
      </c>
      <c r="Z5" s="4">
        <v>2</v>
      </c>
      <c r="AA5" s="4">
        <v>1</v>
      </c>
      <c r="AB5" s="4">
        <v>0</v>
      </c>
      <c r="AC5" s="33">
        <v>4</v>
      </c>
      <c r="AD5" s="33">
        <v>4</v>
      </c>
      <c r="AE5" s="33">
        <v>1</v>
      </c>
      <c r="AF5" s="8">
        <v>1</v>
      </c>
      <c r="AG5" s="4">
        <v>0</v>
      </c>
      <c r="AH5" s="34">
        <v>1</v>
      </c>
      <c r="AI5" s="34">
        <v>1</v>
      </c>
      <c r="AJ5" s="34">
        <v>1</v>
      </c>
      <c r="AK5" s="13">
        <v>0</v>
      </c>
    </row>
    <row r="6" spans="1:37" x14ac:dyDescent="0.25">
      <c r="A6">
        <v>4</v>
      </c>
      <c r="B6" s="4" t="s">
        <v>77</v>
      </c>
      <c r="C6" s="4" t="s">
        <v>83</v>
      </c>
      <c r="D6" s="5">
        <v>87</v>
      </c>
      <c r="E6" s="5">
        <v>6.7823299831252773E-6</v>
      </c>
      <c r="F6" s="4" t="s">
        <v>78</v>
      </c>
      <c r="G6" s="4" t="s">
        <v>76</v>
      </c>
      <c r="H6" s="4" t="s">
        <v>82</v>
      </c>
      <c r="I6" s="4">
        <v>1361</v>
      </c>
      <c r="K6" s="4" t="s">
        <v>80</v>
      </c>
      <c r="L6" s="4" t="s">
        <v>79</v>
      </c>
      <c r="O6" s="4">
        <v>97899</v>
      </c>
      <c r="P6" s="4">
        <v>5</v>
      </c>
      <c r="Q6" s="4">
        <v>1</v>
      </c>
      <c r="R6" s="4">
        <v>-2</v>
      </c>
      <c r="S6" s="4">
        <v>173.941</v>
      </c>
      <c r="T6" s="4">
        <v>-3.3395999999999999</v>
      </c>
      <c r="U6" s="4">
        <v>0</v>
      </c>
      <c r="V6" s="4">
        <v>0</v>
      </c>
      <c r="W6" s="4">
        <v>7</v>
      </c>
      <c r="X6" s="4">
        <v>1.1299435028248589E-2</v>
      </c>
      <c r="Y6" s="4">
        <v>1.776739292536185E-3</v>
      </c>
      <c r="Z6" s="4">
        <v>2</v>
      </c>
      <c r="AA6" s="4">
        <v>1</v>
      </c>
      <c r="AB6" s="4">
        <v>1</v>
      </c>
      <c r="AC6" s="33">
        <v>5</v>
      </c>
      <c r="AD6" s="33">
        <v>5</v>
      </c>
      <c r="AE6" s="36">
        <v>5</v>
      </c>
      <c r="AF6" s="16">
        <v>1</v>
      </c>
      <c r="AG6" s="4">
        <v>0</v>
      </c>
      <c r="AH6" s="34">
        <v>1</v>
      </c>
      <c r="AI6" s="34">
        <v>1</v>
      </c>
      <c r="AJ6" s="35">
        <v>1</v>
      </c>
      <c r="AK6" s="18">
        <v>1</v>
      </c>
    </row>
    <row r="7" spans="1:37" x14ac:dyDescent="0.25">
      <c r="A7">
        <v>5</v>
      </c>
      <c r="B7" s="4" t="s">
        <v>85</v>
      </c>
      <c r="C7" s="4" t="s">
        <v>91</v>
      </c>
      <c r="D7" s="5">
        <v>72</v>
      </c>
      <c r="E7" s="5">
        <v>1.8633627874061539E-5</v>
      </c>
      <c r="F7" s="4" t="s">
        <v>86</v>
      </c>
      <c r="G7" s="4" t="s">
        <v>84</v>
      </c>
      <c r="H7" s="4" t="s">
        <v>90</v>
      </c>
      <c r="I7" s="4">
        <v>2069</v>
      </c>
      <c r="K7" s="4" t="s">
        <v>88</v>
      </c>
      <c r="L7" s="4" t="s">
        <v>87</v>
      </c>
      <c r="O7" s="4">
        <v>46816</v>
      </c>
      <c r="P7" s="4">
        <v>5</v>
      </c>
      <c r="Q7" s="4">
        <v>1</v>
      </c>
      <c r="R7" s="4">
        <v>-2</v>
      </c>
      <c r="S7" s="4">
        <v>54.938000000000002</v>
      </c>
      <c r="T7" s="4">
        <v>-2.5000000000000001E-3</v>
      </c>
      <c r="U7" s="4">
        <v>0</v>
      </c>
      <c r="V7" s="4">
        <v>0</v>
      </c>
      <c r="W7" s="4">
        <v>0</v>
      </c>
      <c r="X7" s="4">
        <v>2.2883295194508008E-2</v>
      </c>
      <c r="Y7" s="4">
        <v>1.173487696514012E-3</v>
      </c>
      <c r="Z7" s="4">
        <v>2</v>
      </c>
      <c r="AA7" s="4">
        <v>1</v>
      </c>
      <c r="AB7" s="4">
        <v>1</v>
      </c>
      <c r="AC7" s="33">
        <v>5</v>
      </c>
      <c r="AD7" s="33">
        <v>5</v>
      </c>
      <c r="AE7" s="33">
        <v>2</v>
      </c>
      <c r="AF7" s="8">
        <v>1</v>
      </c>
      <c r="AG7" s="4">
        <v>0</v>
      </c>
      <c r="AH7" s="34">
        <v>1</v>
      </c>
      <c r="AI7" s="34">
        <v>1</v>
      </c>
      <c r="AJ7" s="35">
        <v>1</v>
      </c>
      <c r="AK7" s="18">
        <v>1</v>
      </c>
    </row>
    <row r="8" spans="1:37" x14ac:dyDescent="0.25">
      <c r="A8">
        <v>6</v>
      </c>
      <c r="B8" s="4" t="s">
        <v>93</v>
      </c>
      <c r="C8" s="4" t="s">
        <v>99</v>
      </c>
      <c r="D8" s="5">
        <v>391.99999999999989</v>
      </c>
      <c r="E8" s="5">
        <v>3.3807999763341618E-3</v>
      </c>
      <c r="F8" s="4" t="s">
        <v>94</v>
      </c>
      <c r="G8" s="4" t="s">
        <v>92</v>
      </c>
      <c r="H8" s="4" t="s">
        <v>98</v>
      </c>
      <c r="I8" s="4">
        <v>1023</v>
      </c>
      <c r="K8" s="4" t="s">
        <v>96</v>
      </c>
      <c r="L8" s="4" t="s">
        <v>95</v>
      </c>
      <c r="O8" s="4">
        <v>53002</v>
      </c>
      <c r="P8" s="4">
        <v>6</v>
      </c>
      <c r="Q8" s="4">
        <v>3</v>
      </c>
      <c r="R8" s="4">
        <v>-2</v>
      </c>
      <c r="S8" s="4">
        <v>205.34800000000001</v>
      </c>
      <c r="T8" s="4">
        <v>3.2357700000000018</v>
      </c>
      <c r="U8" s="4">
        <v>1</v>
      </c>
      <c r="V8" s="4">
        <v>2</v>
      </c>
      <c r="W8" s="4">
        <v>3</v>
      </c>
      <c r="X8" s="4">
        <v>0.01</v>
      </c>
      <c r="Y8" s="4">
        <v>3.8743443643636092E-3</v>
      </c>
      <c r="Z8" s="4">
        <v>1</v>
      </c>
      <c r="AA8" s="4">
        <v>1</v>
      </c>
      <c r="AB8" s="4">
        <v>0</v>
      </c>
      <c r="AC8" s="33">
        <v>6</v>
      </c>
      <c r="AD8" s="33">
        <v>6</v>
      </c>
      <c r="AE8" s="36">
        <v>6</v>
      </c>
      <c r="AF8" s="16">
        <v>1</v>
      </c>
      <c r="AG8" s="4">
        <v>0</v>
      </c>
      <c r="AH8" s="34">
        <v>3</v>
      </c>
      <c r="AI8" s="34">
        <v>3</v>
      </c>
      <c r="AJ8" s="34">
        <v>3</v>
      </c>
      <c r="AK8" s="13">
        <v>0</v>
      </c>
    </row>
    <row r="9" spans="1:37" x14ac:dyDescent="0.25">
      <c r="A9">
        <v>7</v>
      </c>
      <c r="B9" s="4" t="s">
        <v>101</v>
      </c>
      <c r="C9" s="4" t="s">
        <v>105</v>
      </c>
      <c r="D9" s="5">
        <v>6.8333330000000012E-2</v>
      </c>
      <c r="E9" s="5">
        <v>3.9999999999999982E-7</v>
      </c>
      <c r="F9" s="4" t="s">
        <v>102</v>
      </c>
      <c r="G9" s="4" t="s">
        <v>100</v>
      </c>
      <c r="H9" s="4" t="s">
        <v>49</v>
      </c>
      <c r="I9" s="4">
        <v>244</v>
      </c>
      <c r="K9" s="4" t="s">
        <v>104</v>
      </c>
      <c r="L9" s="4" t="s">
        <v>103</v>
      </c>
      <c r="O9" s="4">
        <v>36877</v>
      </c>
      <c r="P9" s="4">
        <v>2</v>
      </c>
      <c r="Q9" s="4">
        <v>0</v>
      </c>
      <c r="R9" s="4">
        <v>-2</v>
      </c>
      <c r="S9" s="4">
        <v>288.43099999999998</v>
      </c>
      <c r="T9" s="4">
        <v>3.879200000000004</v>
      </c>
      <c r="U9" s="4">
        <v>4</v>
      </c>
      <c r="V9" s="4">
        <v>1</v>
      </c>
      <c r="W9" s="4">
        <v>2</v>
      </c>
      <c r="X9" s="4">
        <v>1.238390092879257E-2</v>
      </c>
      <c r="Y9" s="4">
        <v>7.8214334137809479E-3</v>
      </c>
      <c r="Z9" s="4">
        <v>1</v>
      </c>
      <c r="AA9" s="4">
        <v>1</v>
      </c>
      <c r="AB9" s="4">
        <v>0</v>
      </c>
      <c r="AC9" s="33">
        <v>2</v>
      </c>
      <c r="AD9" s="33">
        <v>2</v>
      </c>
      <c r="AE9" s="33">
        <v>0</v>
      </c>
      <c r="AF9" s="8">
        <v>1</v>
      </c>
      <c r="AG9" s="4">
        <v>0</v>
      </c>
      <c r="AH9" s="34">
        <v>0</v>
      </c>
      <c r="AI9" s="34">
        <v>0</v>
      </c>
      <c r="AJ9" s="34">
        <v>0</v>
      </c>
      <c r="AK9" s="13">
        <v>0</v>
      </c>
    </row>
    <row r="10" spans="1:37" x14ac:dyDescent="0.25">
      <c r="A10">
        <v>8</v>
      </c>
      <c r="B10" s="4" t="s">
        <v>107</v>
      </c>
      <c r="C10" s="4" t="s">
        <v>111</v>
      </c>
      <c r="D10" s="5">
        <v>7.0000000000000021E-2</v>
      </c>
      <c r="E10" s="5">
        <v>1.7E-5</v>
      </c>
      <c r="F10" s="4" t="s">
        <v>108</v>
      </c>
      <c r="G10" s="4" t="s">
        <v>106</v>
      </c>
      <c r="H10" s="4" t="s">
        <v>49</v>
      </c>
      <c r="I10" s="4">
        <v>561</v>
      </c>
      <c r="K10" s="4" t="s">
        <v>110</v>
      </c>
      <c r="L10" s="4" t="s">
        <v>109</v>
      </c>
      <c r="O10" s="4">
        <v>37014</v>
      </c>
      <c r="P10" s="4">
        <v>2</v>
      </c>
      <c r="Q10" s="4">
        <v>1</v>
      </c>
      <c r="R10" s="4">
        <v>-2</v>
      </c>
      <c r="S10" s="4">
        <v>292.46300000000002</v>
      </c>
      <c r="T10" s="4">
        <v>3.7509000000000019</v>
      </c>
      <c r="U10" s="4">
        <v>4</v>
      </c>
      <c r="V10" s="4">
        <v>2</v>
      </c>
      <c r="W10" s="4">
        <v>2</v>
      </c>
      <c r="X10" s="4">
        <v>1.238390092879257E-2</v>
      </c>
      <c r="Y10" s="4">
        <v>7.9014156805533049E-3</v>
      </c>
      <c r="Z10" s="4">
        <v>1</v>
      </c>
      <c r="AA10" s="4">
        <v>1</v>
      </c>
      <c r="AB10" s="4">
        <v>0</v>
      </c>
      <c r="AC10" s="33">
        <v>2</v>
      </c>
      <c r="AD10" s="33">
        <v>3</v>
      </c>
      <c r="AE10" s="33">
        <v>0</v>
      </c>
      <c r="AF10" s="8">
        <v>1</v>
      </c>
      <c r="AG10" s="4">
        <v>0</v>
      </c>
      <c r="AH10" s="34">
        <v>1</v>
      </c>
      <c r="AI10" s="34">
        <v>1</v>
      </c>
      <c r="AJ10" s="34">
        <v>1</v>
      </c>
      <c r="AK10" s="13">
        <v>0</v>
      </c>
    </row>
    <row r="11" spans="1:37" x14ac:dyDescent="0.25">
      <c r="A11">
        <v>9</v>
      </c>
      <c r="B11" s="4" t="s">
        <v>113</v>
      </c>
      <c r="C11" s="4" t="s">
        <v>119</v>
      </c>
      <c r="D11" s="5">
        <v>124</v>
      </c>
      <c r="E11" s="5">
        <v>1.5243435318369039E-4</v>
      </c>
      <c r="F11" s="4" t="s">
        <v>114</v>
      </c>
      <c r="G11" s="4" t="s">
        <v>112</v>
      </c>
      <c r="H11" s="4" t="s">
        <v>118</v>
      </c>
      <c r="I11" s="4">
        <v>2130</v>
      </c>
      <c r="K11" s="4" t="s">
        <v>116</v>
      </c>
      <c r="L11" s="4" t="s">
        <v>115</v>
      </c>
      <c r="O11" s="4">
        <v>31270</v>
      </c>
      <c r="P11" s="4">
        <v>6</v>
      </c>
      <c r="Q11" s="4">
        <v>2</v>
      </c>
      <c r="R11" s="4">
        <v>-3</v>
      </c>
      <c r="S11" s="4">
        <v>117.104</v>
      </c>
      <c r="T11" s="4">
        <v>-1.0126999999999999</v>
      </c>
      <c r="U11" s="4">
        <v>0</v>
      </c>
      <c r="V11" s="4">
        <v>2</v>
      </c>
      <c r="W11" s="4">
        <v>3</v>
      </c>
      <c r="X11" s="4">
        <v>3.4246575342465752E-2</v>
      </c>
      <c r="Y11" s="4">
        <v>3.7449312440038371E-3</v>
      </c>
      <c r="Z11" s="4">
        <v>2</v>
      </c>
      <c r="AA11" s="4">
        <v>1</v>
      </c>
      <c r="AB11" s="4">
        <v>1</v>
      </c>
      <c r="AC11" s="33">
        <v>6</v>
      </c>
      <c r="AD11" s="33">
        <v>6</v>
      </c>
      <c r="AE11" s="33">
        <v>4</v>
      </c>
      <c r="AF11" s="8">
        <v>1</v>
      </c>
      <c r="AG11" s="4">
        <v>0</v>
      </c>
      <c r="AH11" s="34">
        <v>2</v>
      </c>
      <c r="AI11" s="34">
        <v>2</v>
      </c>
      <c r="AJ11" s="34">
        <v>5</v>
      </c>
      <c r="AK11" s="1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CA72-298D-489B-9CE3-997696EA6EE0}">
  <dimension ref="A1:Q12"/>
  <sheetViews>
    <sheetView workbookViewId="0">
      <selection activeCell="D3" sqref="D3:E12"/>
    </sheetView>
  </sheetViews>
  <sheetFormatPr defaultRowHeight="15" x14ac:dyDescent="0.25"/>
  <cols>
    <col min="1" max="1" width="10.140625" bestFit="1" customWidth="1"/>
    <col min="2" max="2" width="37.28515625" customWidth="1"/>
    <col min="3" max="3" width="11.5703125" customWidth="1"/>
    <col min="15" max="15" width="14.42578125" customWidth="1"/>
  </cols>
  <sheetData>
    <row r="1" spans="1:17" x14ac:dyDescent="0.25">
      <c r="A1" s="46" t="s">
        <v>333</v>
      </c>
      <c r="B1" s="46" t="s">
        <v>323</v>
      </c>
      <c r="C1" s="46" t="s">
        <v>332</v>
      </c>
      <c r="D1" s="46" t="s">
        <v>334</v>
      </c>
      <c r="E1" s="46" t="s">
        <v>335</v>
      </c>
      <c r="F1" s="38" t="s">
        <v>342</v>
      </c>
      <c r="G1" s="38"/>
      <c r="H1" s="38"/>
      <c r="I1" s="38"/>
      <c r="J1" s="38"/>
      <c r="K1" s="38"/>
      <c r="L1" s="39" t="s">
        <v>343</v>
      </c>
      <c r="M1" s="40"/>
      <c r="N1" s="40"/>
      <c r="O1" s="40"/>
      <c r="P1" s="40"/>
      <c r="Q1" s="41"/>
    </row>
    <row r="2" spans="1:17" x14ac:dyDescent="0.25">
      <c r="A2" s="46"/>
      <c r="B2" s="46"/>
      <c r="C2" s="46"/>
      <c r="D2" s="46"/>
      <c r="E2" s="46"/>
      <c r="F2" s="37" t="s">
        <v>336</v>
      </c>
      <c r="G2" s="37" t="s">
        <v>337</v>
      </c>
      <c r="H2" s="37" t="s">
        <v>338</v>
      </c>
      <c r="I2" s="37" t="s">
        <v>339</v>
      </c>
      <c r="J2" s="37" t="s">
        <v>340</v>
      </c>
      <c r="K2" s="37" t="s">
        <v>341</v>
      </c>
      <c r="L2" s="37" t="s">
        <v>336</v>
      </c>
      <c r="M2" s="37" t="s">
        <v>337</v>
      </c>
      <c r="N2" s="37" t="s">
        <v>338</v>
      </c>
      <c r="O2" s="37" t="s">
        <v>347</v>
      </c>
      <c r="P2" s="37" t="s">
        <v>340</v>
      </c>
      <c r="Q2" s="37" t="s">
        <v>341</v>
      </c>
    </row>
    <row r="3" spans="1:17" x14ac:dyDescent="0.25">
      <c r="A3" s="4" t="s">
        <v>45</v>
      </c>
      <c r="B3" s="4" t="s">
        <v>42</v>
      </c>
      <c r="C3" s="4" t="s">
        <v>324</v>
      </c>
      <c r="D3" s="47">
        <v>3.3333330000000001E-2</v>
      </c>
      <c r="E3" s="47">
        <v>1.5999999999999999E-3</v>
      </c>
      <c r="F3" s="42">
        <v>2</v>
      </c>
      <c r="G3" s="42">
        <v>2</v>
      </c>
      <c r="H3" s="42">
        <v>0</v>
      </c>
      <c r="I3" s="42">
        <f>G3-H3</f>
        <v>2</v>
      </c>
      <c r="J3" s="42" t="b">
        <v>1</v>
      </c>
      <c r="K3" s="42" t="s">
        <v>344</v>
      </c>
      <c r="L3" s="43">
        <v>0</v>
      </c>
      <c r="M3" s="43">
        <v>0</v>
      </c>
      <c r="N3" s="43">
        <v>0</v>
      </c>
      <c r="O3" s="43">
        <f>(N3-M3)</f>
        <v>0</v>
      </c>
      <c r="P3" s="43" t="b">
        <v>0</v>
      </c>
      <c r="Q3" s="43" t="s">
        <v>345</v>
      </c>
    </row>
    <row r="4" spans="1:17" x14ac:dyDescent="0.25">
      <c r="A4" s="4" t="s">
        <v>56</v>
      </c>
      <c r="B4" s="4" t="s">
        <v>55</v>
      </c>
      <c r="C4" s="4" t="s">
        <v>326</v>
      </c>
      <c r="D4" s="47">
        <v>0.26500000000000001</v>
      </c>
      <c r="E4" s="47">
        <v>1.7399999999999988E-2</v>
      </c>
      <c r="F4" s="42">
        <v>3</v>
      </c>
      <c r="G4" s="42">
        <v>3</v>
      </c>
      <c r="H4" s="42">
        <v>3</v>
      </c>
      <c r="I4" s="42">
        <f t="shared" ref="I4:I12" si="0">G4-H4</f>
        <v>0</v>
      </c>
      <c r="J4" s="42" t="b">
        <v>0</v>
      </c>
      <c r="K4" s="42" t="s">
        <v>345</v>
      </c>
      <c r="L4" s="43">
        <v>1</v>
      </c>
      <c r="M4" s="43">
        <v>1</v>
      </c>
      <c r="N4" s="44">
        <v>1</v>
      </c>
      <c r="O4" s="43">
        <f t="shared" ref="O4:O12" si="1">(N4-M4)</f>
        <v>0</v>
      </c>
      <c r="P4" s="43" t="b">
        <v>1</v>
      </c>
      <c r="Q4" s="43" t="s">
        <v>346</v>
      </c>
    </row>
    <row r="5" spans="1:17" x14ac:dyDescent="0.25">
      <c r="A5" s="4" t="s">
        <v>64</v>
      </c>
      <c r="B5" s="4" t="s">
        <v>63</v>
      </c>
      <c r="C5" s="4" t="s">
        <v>327</v>
      </c>
      <c r="D5" s="47">
        <v>5.4772255750516599E-2</v>
      </c>
      <c r="E5" s="47">
        <v>0.45000000000000029</v>
      </c>
      <c r="F5" s="42">
        <v>2</v>
      </c>
      <c r="G5" s="42">
        <v>5</v>
      </c>
      <c r="H5" s="42">
        <v>1</v>
      </c>
      <c r="I5" s="42">
        <f t="shared" si="0"/>
        <v>4</v>
      </c>
      <c r="J5" s="42" t="b">
        <v>1</v>
      </c>
      <c r="K5" s="42" t="s">
        <v>344</v>
      </c>
      <c r="L5" s="43">
        <v>2</v>
      </c>
      <c r="M5" s="43">
        <v>2</v>
      </c>
      <c r="N5" s="43">
        <v>5</v>
      </c>
      <c r="O5" s="43">
        <f t="shared" si="1"/>
        <v>3</v>
      </c>
      <c r="P5" s="43" t="b">
        <v>1</v>
      </c>
      <c r="Q5" s="43" t="s">
        <v>344</v>
      </c>
    </row>
    <row r="6" spans="1:17" x14ac:dyDescent="0.25">
      <c r="A6" s="4" t="s">
        <v>72</v>
      </c>
      <c r="B6" s="4" t="s">
        <v>71</v>
      </c>
      <c r="C6" s="4" t="s">
        <v>328</v>
      </c>
      <c r="D6" s="47">
        <v>8.4899999999999984</v>
      </c>
      <c r="E6" s="47">
        <v>6.5000000000000058E-2</v>
      </c>
      <c r="F6" s="42">
        <v>4</v>
      </c>
      <c r="G6" s="42">
        <v>4</v>
      </c>
      <c r="H6" s="42">
        <v>1</v>
      </c>
      <c r="I6" s="42">
        <f t="shared" si="0"/>
        <v>3</v>
      </c>
      <c r="J6" s="42" t="b">
        <v>1</v>
      </c>
      <c r="K6" s="42" t="s">
        <v>344</v>
      </c>
      <c r="L6" s="43">
        <v>1</v>
      </c>
      <c r="M6" s="43">
        <v>1</v>
      </c>
      <c r="N6" s="43">
        <v>1</v>
      </c>
      <c r="O6" s="43">
        <f t="shared" si="1"/>
        <v>0</v>
      </c>
      <c r="P6" s="43" t="b">
        <v>0</v>
      </c>
      <c r="Q6" s="43" t="s">
        <v>345</v>
      </c>
    </row>
    <row r="7" spans="1:17" x14ac:dyDescent="0.25">
      <c r="A7" s="4" t="s">
        <v>80</v>
      </c>
      <c r="B7" s="4" t="s">
        <v>79</v>
      </c>
      <c r="C7" s="4" t="s">
        <v>329</v>
      </c>
      <c r="D7" s="47">
        <v>87</v>
      </c>
      <c r="E7" s="47">
        <v>6.7823299831252775E-3</v>
      </c>
      <c r="F7" s="42">
        <v>5</v>
      </c>
      <c r="G7" s="42">
        <v>5</v>
      </c>
      <c r="H7" s="45">
        <v>5</v>
      </c>
      <c r="I7" s="42">
        <f t="shared" si="0"/>
        <v>0</v>
      </c>
      <c r="J7" s="42" t="b">
        <v>1</v>
      </c>
      <c r="K7" s="42" t="s">
        <v>346</v>
      </c>
      <c r="L7" s="43">
        <v>1</v>
      </c>
      <c r="M7" s="43">
        <v>1</v>
      </c>
      <c r="N7" s="44">
        <v>1</v>
      </c>
      <c r="O7" s="43">
        <f t="shared" si="1"/>
        <v>0</v>
      </c>
      <c r="P7" s="43" t="b">
        <v>1</v>
      </c>
      <c r="Q7" s="43" t="s">
        <v>346</v>
      </c>
    </row>
    <row r="8" spans="1:17" x14ac:dyDescent="0.25">
      <c r="A8" s="4" t="s">
        <v>88</v>
      </c>
      <c r="B8" s="4" t="s">
        <v>87</v>
      </c>
      <c r="C8" s="4" t="s">
        <v>330</v>
      </c>
      <c r="D8" s="47">
        <v>72</v>
      </c>
      <c r="E8" s="47">
        <v>1.8633627874061538E-2</v>
      </c>
      <c r="F8" s="42">
        <v>5</v>
      </c>
      <c r="G8" s="42">
        <v>5</v>
      </c>
      <c r="H8" s="42">
        <v>2</v>
      </c>
      <c r="I8" s="42">
        <f t="shared" si="0"/>
        <v>3</v>
      </c>
      <c r="J8" s="42" t="b">
        <v>1</v>
      </c>
      <c r="K8" s="42" t="s">
        <v>344</v>
      </c>
      <c r="L8" s="43">
        <v>1</v>
      </c>
      <c r="M8" s="43">
        <v>1</v>
      </c>
      <c r="N8" s="44">
        <v>1</v>
      </c>
      <c r="O8" s="43">
        <f t="shared" si="1"/>
        <v>0</v>
      </c>
      <c r="P8" s="43" t="b">
        <v>1</v>
      </c>
      <c r="Q8" s="43" t="s">
        <v>346</v>
      </c>
    </row>
    <row r="9" spans="1:17" x14ac:dyDescent="0.25">
      <c r="A9" s="4" t="s">
        <v>96</v>
      </c>
      <c r="B9" s="4" t="s">
        <v>95</v>
      </c>
      <c r="C9" s="4" t="s">
        <v>325</v>
      </c>
      <c r="D9" s="47">
        <v>391.99999999999989</v>
      </c>
      <c r="E9" s="47">
        <v>3.3807999763341616</v>
      </c>
      <c r="F9" s="42">
        <v>6</v>
      </c>
      <c r="G9" s="42">
        <v>6</v>
      </c>
      <c r="H9" s="45">
        <v>6</v>
      </c>
      <c r="I9" s="42">
        <f t="shared" si="0"/>
        <v>0</v>
      </c>
      <c r="J9" s="42" t="b">
        <v>1</v>
      </c>
      <c r="K9" s="42" t="s">
        <v>346</v>
      </c>
      <c r="L9" s="43">
        <v>3</v>
      </c>
      <c r="M9" s="43">
        <v>3</v>
      </c>
      <c r="N9" s="43">
        <v>3</v>
      </c>
      <c r="O9" s="43">
        <f t="shared" si="1"/>
        <v>0</v>
      </c>
      <c r="P9" s="43" t="b">
        <v>0</v>
      </c>
      <c r="Q9" s="43" t="s">
        <v>345</v>
      </c>
    </row>
    <row r="10" spans="1:17" x14ac:dyDescent="0.25">
      <c r="A10" s="4" t="s">
        <v>104</v>
      </c>
      <c r="B10" s="4" t="s">
        <v>103</v>
      </c>
      <c r="C10" s="4" t="s">
        <v>324</v>
      </c>
      <c r="D10" s="47">
        <v>6.8333330000000012E-2</v>
      </c>
      <c r="E10" s="47">
        <v>3.999999999999998E-4</v>
      </c>
      <c r="F10" s="42">
        <v>2</v>
      </c>
      <c r="G10" s="42">
        <v>2</v>
      </c>
      <c r="H10" s="42">
        <v>0</v>
      </c>
      <c r="I10" s="42">
        <f t="shared" si="0"/>
        <v>2</v>
      </c>
      <c r="J10" s="42" t="b">
        <v>1</v>
      </c>
      <c r="K10" s="42" t="s">
        <v>344</v>
      </c>
      <c r="L10" s="43">
        <v>0</v>
      </c>
      <c r="M10" s="43">
        <v>0</v>
      </c>
      <c r="N10" s="43">
        <v>0</v>
      </c>
      <c r="O10" s="43">
        <f t="shared" si="1"/>
        <v>0</v>
      </c>
      <c r="P10" s="43" t="b">
        <v>0</v>
      </c>
      <c r="Q10" s="43" t="s">
        <v>345</v>
      </c>
    </row>
    <row r="11" spans="1:17" x14ac:dyDescent="0.25">
      <c r="A11" s="4" t="s">
        <v>110</v>
      </c>
      <c r="B11" s="4" t="s">
        <v>109</v>
      </c>
      <c r="C11" s="4" t="s">
        <v>324</v>
      </c>
      <c r="D11" s="47">
        <v>7.0000000000000021E-2</v>
      </c>
      <c r="E11" s="47">
        <v>1.7000000000000001E-2</v>
      </c>
      <c r="F11" s="42">
        <v>2</v>
      </c>
      <c r="G11" s="42">
        <v>3</v>
      </c>
      <c r="H11" s="42">
        <v>0</v>
      </c>
      <c r="I11" s="42">
        <f t="shared" si="0"/>
        <v>3</v>
      </c>
      <c r="J11" s="42" t="b">
        <v>1</v>
      </c>
      <c r="K11" s="42" t="s">
        <v>344</v>
      </c>
      <c r="L11" s="43">
        <v>1</v>
      </c>
      <c r="M11" s="43">
        <v>1</v>
      </c>
      <c r="N11" s="43">
        <v>1</v>
      </c>
      <c r="O11" s="43">
        <f t="shared" si="1"/>
        <v>0</v>
      </c>
      <c r="P11" s="43" t="b">
        <v>0</v>
      </c>
      <c r="Q11" s="43" t="s">
        <v>345</v>
      </c>
    </row>
    <row r="12" spans="1:17" x14ac:dyDescent="0.25">
      <c r="A12" s="4" t="s">
        <v>116</v>
      </c>
      <c r="B12" s="4" t="s">
        <v>115</v>
      </c>
      <c r="C12" s="4" t="s">
        <v>331</v>
      </c>
      <c r="D12" s="47">
        <v>124</v>
      </c>
      <c r="E12" s="47">
        <v>0.15243435318369039</v>
      </c>
      <c r="F12" s="42">
        <v>6</v>
      </c>
      <c r="G12" s="42">
        <v>6</v>
      </c>
      <c r="H12" s="42">
        <v>4</v>
      </c>
      <c r="I12" s="42">
        <f t="shared" si="0"/>
        <v>2</v>
      </c>
      <c r="J12" s="42" t="b">
        <v>1</v>
      </c>
      <c r="K12" s="42" t="s">
        <v>344</v>
      </c>
      <c r="L12" s="43">
        <v>2</v>
      </c>
      <c r="M12" s="43">
        <v>2</v>
      </c>
      <c r="N12" s="43">
        <v>5</v>
      </c>
      <c r="O12" s="43">
        <f t="shared" si="1"/>
        <v>3</v>
      </c>
      <c r="P12" s="43" t="b">
        <v>1</v>
      </c>
      <c r="Q12" s="43" t="s">
        <v>344</v>
      </c>
    </row>
  </sheetData>
  <mergeCells count="7">
    <mergeCell ref="L1:Q1"/>
    <mergeCell ref="A1:A2"/>
    <mergeCell ref="B1:B2"/>
    <mergeCell ref="C1:C2"/>
    <mergeCell ref="D1:D2"/>
    <mergeCell ref="E1:E2"/>
    <mergeCell ref="F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OOD_kcat_km_entries</vt:lpstr>
      <vt:lpstr>Negative_Test_Holdout</vt:lpstr>
      <vt:lpstr>kcat</vt:lpstr>
      <vt:lpstr>km</vt:lpstr>
      <vt:lpstr>test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Osinuga</dc:creator>
  <cp:lastModifiedBy>Abraham Osinuga</cp:lastModifiedBy>
  <dcterms:created xsi:type="dcterms:W3CDTF">2025-08-21T19:28:14Z</dcterms:created>
  <dcterms:modified xsi:type="dcterms:W3CDTF">2025-08-26T04:52:49Z</dcterms:modified>
</cp:coreProperties>
</file>